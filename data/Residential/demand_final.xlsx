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vscode/clarkston_real_estate_market_analysis/data/Residential/"/>
    </mc:Choice>
  </mc:AlternateContent>
  <xr:revisionPtr revIDLastSave="0" documentId="13_ncr:9_{676DE8F1-042C-8142-B949-A17F669B172A}" xr6:coauthVersionLast="47" xr6:coauthVersionMax="47" xr10:uidLastSave="{00000000-0000-0000-0000-000000000000}"/>
  <bookViews>
    <workbookView xWindow="28820" yWindow="920" windowWidth="21440" windowHeight="16440" xr2:uid="{B71F5360-BF81-BF4F-AF24-48C1BBB7AB68}"/>
  </bookViews>
  <sheets>
    <sheet name="demand_display" sheetId="1" r:id="rId1"/>
    <sheet name="supp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2" i="1"/>
  <c r="B33" i="1"/>
  <c r="B34" i="1"/>
  <c r="B31" i="1"/>
  <c r="B27" i="1"/>
  <c r="B28" i="1"/>
  <c r="B29" i="1"/>
  <c r="B26" i="1"/>
  <c r="B22" i="1"/>
  <c r="B23" i="1"/>
  <c r="B24" i="1"/>
  <c r="B21" i="1"/>
  <c r="N5" i="1"/>
  <c r="N4" i="1"/>
  <c r="C14" i="1" s="1"/>
  <c r="C13" i="1"/>
  <c r="C15" i="1"/>
  <c r="C16" i="1"/>
  <c r="C39" i="1"/>
  <c r="B13" i="1"/>
  <c r="B14" i="1"/>
  <c r="B15" i="1"/>
  <c r="B16" i="1"/>
  <c r="B39" i="1"/>
  <c r="A13" i="1"/>
  <c r="A14" i="1"/>
  <c r="A15" i="1"/>
  <c r="A16" i="1"/>
  <c r="A39" i="1"/>
  <c r="A12" i="1"/>
  <c r="C12" i="1"/>
  <c r="B12" i="1"/>
  <c r="B11" i="1"/>
  <c r="N7" i="1"/>
  <c r="M7" i="1"/>
  <c r="N6" i="1"/>
  <c r="M6" i="1"/>
  <c r="M5" i="1"/>
  <c r="M4" i="1"/>
  <c r="N3" i="1"/>
  <c r="M3" i="1"/>
</calcChain>
</file>

<file path=xl/sharedStrings.xml><?xml version="1.0" encoding="utf-8"?>
<sst xmlns="http://schemas.openxmlformats.org/spreadsheetml/2006/main" count="103" uniqueCount="76">
  <si>
    <t>Demand age bin</t>
  </si>
  <si>
    <t>Under 25</t>
  </si>
  <si>
    <t>25-34</t>
  </si>
  <si>
    <t>35-54</t>
  </si>
  <si>
    <t>65-74</t>
  </si>
  <si>
    <t>75+</t>
  </si>
  <si>
    <t>Radius</t>
  </si>
  <si>
    <t>2m</t>
  </si>
  <si>
    <t>5m</t>
  </si>
  <si>
    <t>Total households</t>
  </si>
  <si>
    <t>% Renters</t>
  </si>
  <si>
    <t>Total Renters</t>
  </si>
  <si>
    <t>Rental Demand (40% turnover assumption)</t>
  </si>
  <si>
    <t>Addressable Demand (2% capture)</t>
  </si>
  <si>
    <t>Total</t>
  </si>
  <si>
    <t xml:space="preserve">Total </t>
  </si>
  <si>
    <t>Class A Units</t>
  </si>
  <si>
    <t>1BR</t>
  </si>
  <si>
    <t>Studio</t>
  </si>
  <si>
    <t>2BR</t>
  </si>
  <si>
    <t>3BR</t>
  </si>
  <si>
    <t>4BR</t>
  </si>
  <si>
    <t>Class B Units</t>
  </si>
  <si>
    <t>Class C Units</t>
  </si>
  <si>
    <t>2 Mile Radius</t>
  </si>
  <si>
    <t>5 Mile Radius</t>
  </si>
  <si>
    <t>Building Class</t>
  </si>
  <si>
    <t>A</t>
  </si>
  <si>
    <t>B</t>
  </si>
  <si>
    <t>C</t>
  </si>
  <si>
    <t>Metric</t>
  </si>
  <si>
    <t>% 1-Bed</t>
  </si>
  <si>
    <t>% 2-Bed</t>
  </si>
  <si>
    <t>% 3-Bed</t>
  </si>
  <si>
    <t>% 4-Bed</t>
  </si>
  <si>
    <t>% Studios</t>
  </si>
  <si>
    <t>Avg Asking/SF</t>
  </si>
  <si>
    <t>Avg Asking/Unit</t>
  </si>
  <si>
    <t>Avg Unit SF</t>
  </si>
  <si>
    <t>Four Bedroom Asking Rent/SF</t>
  </si>
  <si>
    <t>Four Bedroom Asking Rent/Unit</t>
  </si>
  <si>
    <t>Four Bedroom Avg SF</t>
  </si>
  <si>
    <t>Four Bedroom Effective Rent/SF</t>
  </si>
  <si>
    <t>Four Bedroom Effective Rent/Unit</t>
  </si>
  <si>
    <t>Four Bedroom Vacancy %</t>
  </si>
  <si>
    <t>Four Bedroom Vacant Units</t>
  </si>
  <si>
    <t>Number Of 1 Bedroom Units</t>
  </si>
  <si>
    <t>Number Of 2 Bedroom Units</t>
  </si>
  <si>
    <t>Number Of 3 Bedroom Units</t>
  </si>
  <si>
    <t>Number Of 4 Bedroom Units</t>
  </si>
  <si>
    <t>Number Of Parking Spaces</t>
  </si>
  <si>
    <t>One Bedroom Asking Rent/SF</t>
  </si>
  <si>
    <t>One Bedroom Asking Rent/Unit</t>
  </si>
  <si>
    <t>One Bedroom Avg SF</t>
  </si>
  <si>
    <t>One Bedroom Effective Rent/SF</t>
  </si>
  <si>
    <t>One Bedroom Effective Rent/Unit</t>
  </si>
  <si>
    <t>One Bedroom Vacancy %</t>
  </si>
  <si>
    <t>Studio Asking Rent/SF</t>
  </si>
  <si>
    <t>Studio Asking Rent/Unit</t>
  </si>
  <si>
    <t>Studio Avg SF</t>
  </si>
  <si>
    <t>Studio Effective Rent/SF</t>
  </si>
  <si>
    <t>Studio Effective Rent/Unit</t>
  </si>
  <si>
    <t>Studio Vacancy %</t>
  </si>
  <si>
    <t>Three Bedroom Asking Rent/SF</t>
  </si>
  <si>
    <t>Three Bedroom Asking Rent/Unit</t>
  </si>
  <si>
    <t>Three Bedroom Avg SF</t>
  </si>
  <si>
    <t>Three Bedroom Effective Rent/SF</t>
  </si>
  <si>
    <t>Three Bedroom Effective Rent/Unit</t>
  </si>
  <si>
    <t>Three Bedroom Vacancy %</t>
  </si>
  <si>
    <t>Two Bedroom Asking Rent/SF</t>
  </si>
  <si>
    <t>Two Bedroom Asking Rent/Unit</t>
  </si>
  <si>
    <t>Two Bedroom Avg SF</t>
  </si>
  <si>
    <t>Two Bedroom Effective Rent/SF</t>
  </si>
  <si>
    <t>Two Bedroom Effective Rent/Unit</t>
  </si>
  <si>
    <t>Two Bedroom Vacancy %</t>
  </si>
  <si>
    <t>Vacancy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</si>
</sst>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10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D4AC-3B64-484D-AEB6-6FECFB09C101}">
  <dimension ref="A1:N39"/>
  <sheetViews>
    <sheetView tabSelected="1" zoomScale="120" zoomScaleNormal="120" workbookViewId="0">
      <selection activeCell="B36" sqref="B36"/>
    </sheetView>
  </sheetViews>
  <sheetFormatPr baseColWidth="10" defaultRowHeight="16" x14ac:dyDescent="0.2"/>
  <cols>
    <col min="1" max="1" width="36.33203125" bestFit="1" customWidth="1"/>
    <col min="13" max="13" width="14" bestFit="1" customWidth="1"/>
  </cols>
  <sheetData>
    <row r="1" spans="1:14" x14ac:dyDescent="0.2">
      <c r="A1" t="s">
        <v>0</v>
      </c>
      <c r="B1" s="4" t="s">
        <v>1</v>
      </c>
      <c r="C1" s="4"/>
      <c r="D1" s="4" t="s">
        <v>2</v>
      </c>
      <c r="E1" s="4"/>
      <c r="F1" s="4" t="s">
        <v>3</v>
      </c>
      <c r="G1" s="4"/>
      <c r="H1" s="4" t="s">
        <v>4</v>
      </c>
      <c r="I1" s="4"/>
      <c r="J1" s="4" t="s">
        <v>5</v>
      </c>
      <c r="K1" s="4"/>
      <c r="M1" t="s">
        <v>14</v>
      </c>
    </row>
    <row r="2" spans="1:14" x14ac:dyDescent="0.2">
      <c r="A2" t="s">
        <v>6</v>
      </c>
      <c r="B2" s="3" t="s">
        <v>7</v>
      </c>
      <c r="C2" s="3" t="s">
        <v>8</v>
      </c>
      <c r="D2" s="3" t="s">
        <v>7</v>
      </c>
      <c r="E2" s="3" t="s">
        <v>8</v>
      </c>
      <c r="F2" s="3" t="s">
        <v>7</v>
      </c>
      <c r="G2" s="3" t="s">
        <v>8</v>
      </c>
      <c r="H2" s="3" t="s">
        <v>7</v>
      </c>
      <c r="I2" s="3" t="s">
        <v>8</v>
      </c>
      <c r="J2" s="3" t="s">
        <v>7</v>
      </c>
      <c r="K2" s="3" t="s">
        <v>8</v>
      </c>
      <c r="M2" s="3" t="s">
        <v>7</v>
      </c>
      <c r="N2" s="3" t="s">
        <v>8</v>
      </c>
    </row>
    <row r="3" spans="1:14" x14ac:dyDescent="0.2">
      <c r="A3" t="s">
        <v>9</v>
      </c>
      <c r="B3" s="1">
        <v>67709</v>
      </c>
      <c r="C3" s="1">
        <v>325704</v>
      </c>
      <c r="D3" s="1">
        <v>250041</v>
      </c>
      <c r="E3" s="1">
        <v>1284003</v>
      </c>
      <c r="F3" s="1">
        <v>908074</v>
      </c>
      <c r="G3" s="1">
        <v>4745762</v>
      </c>
      <c r="H3" s="1">
        <v>218374</v>
      </c>
      <c r="I3" s="1">
        <v>1287558</v>
      </c>
      <c r="J3" s="1">
        <v>177018</v>
      </c>
      <c r="K3" s="1">
        <v>1166849</v>
      </c>
      <c r="L3" s="1"/>
      <c r="M3" s="5">
        <f>SUMIF(B$2:K$2, "2m", B3:K3)</f>
        <v>1621216</v>
      </c>
      <c r="N3" s="1">
        <f>SUMIF(B$2:K$2, "5m", B3:K3)</f>
        <v>8809876</v>
      </c>
    </row>
    <row r="4" spans="1:14" x14ac:dyDescent="0.2">
      <c r="A4" t="s">
        <v>10</v>
      </c>
      <c r="B4" s="2">
        <v>0.9</v>
      </c>
      <c r="C4" s="2">
        <v>0.9</v>
      </c>
      <c r="D4" s="2">
        <v>0.56000000000000005</v>
      </c>
      <c r="E4" s="2">
        <v>0.56000000000000005</v>
      </c>
      <c r="F4" s="2">
        <v>0.313</v>
      </c>
      <c r="G4" s="2">
        <v>0.313</v>
      </c>
      <c r="H4" s="2">
        <v>0.21</v>
      </c>
      <c r="I4" s="2">
        <v>0.21</v>
      </c>
      <c r="J4" s="2">
        <v>0.23</v>
      </c>
      <c r="K4" s="2">
        <v>0.23</v>
      </c>
      <c r="M4" s="6">
        <f>AVERAGEIF(B$2:K$2, "2m", B4:K4)</f>
        <v>0.44259999999999999</v>
      </c>
      <c r="N4" s="6">
        <f>AVERAGEIF(B$2:K$2, "5m", B4:K4)</f>
        <v>0.44259999999999999</v>
      </c>
    </row>
    <row r="5" spans="1:14" x14ac:dyDescent="0.2">
      <c r="A5" t="s">
        <v>11</v>
      </c>
      <c r="B5" s="1">
        <v>60938</v>
      </c>
      <c r="C5" s="1">
        <v>293134</v>
      </c>
      <c r="D5" s="1">
        <v>140023</v>
      </c>
      <c r="E5" s="1">
        <v>719042</v>
      </c>
      <c r="F5" s="1">
        <v>284530</v>
      </c>
      <c r="G5" s="1">
        <v>1487005</v>
      </c>
      <c r="H5" s="1">
        <v>45859</v>
      </c>
      <c r="I5" s="1">
        <v>270387</v>
      </c>
      <c r="J5" s="1">
        <v>40714</v>
      </c>
      <c r="K5" s="1">
        <v>268375</v>
      </c>
      <c r="M5" s="5">
        <f>SUMIF(B$2:K$2, "2m", B5:K5)</f>
        <v>572064</v>
      </c>
      <c r="N5" s="1">
        <f>SUMIF(B$2:K$2, "5m", B5:K5)</f>
        <v>3037943</v>
      </c>
    </row>
    <row r="6" spans="1:14" x14ac:dyDescent="0.2">
      <c r="A6" t="s">
        <v>12</v>
      </c>
      <c r="B6" s="1">
        <v>24375</v>
      </c>
      <c r="C6" s="1">
        <v>117254</v>
      </c>
      <c r="D6" s="1">
        <v>56009</v>
      </c>
      <c r="E6" s="1">
        <v>287617</v>
      </c>
      <c r="F6" s="1">
        <v>113812</v>
      </c>
      <c r="G6" s="1">
        <v>594802</v>
      </c>
      <c r="H6" s="1">
        <v>18344</v>
      </c>
      <c r="I6" s="1">
        <v>108155</v>
      </c>
      <c r="J6" s="1">
        <v>16286</v>
      </c>
      <c r="K6" s="1">
        <v>107350</v>
      </c>
      <c r="M6" s="5">
        <f>SUMIF(B$2:K$2, "2m", B6:K6)</f>
        <v>228826</v>
      </c>
      <c r="N6" s="1">
        <f>SUMIF(B$2:K$2, "5m", B6:K6)</f>
        <v>1215178</v>
      </c>
    </row>
    <row r="7" spans="1:14" x14ac:dyDescent="0.2">
      <c r="A7" t="s">
        <v>13</v>
      </c>
      <c r="B7">
        <v>488</v>
      </c>
      <c r="C7" s="1">
        <v>2345</v>
      </c>
      <c r="D7" s="1">
        <v>1120</v>
      </c>
      <c r="E7" s="1">
        <v>5752</v>
      </c>
      <c r="F7" s="1">
        <v>2276</v>
      </c>
      <c r="G7" s="1">
        <v>11896</v>
      </c>
      <c r="H7">
        <v>367</v>
      </c>
      <c r="I7" s="1">
        <v>2163</v>
      </c>
      <c r="J7">
        <v>326</v>
      </c>
      <c r="K7" s="1">
        <v>2147</v>
      </c>
      <c r="M7" s="5">
        <f>SUMIF(B$2:K$2, "2m", B7:K7)</f>
        <v>4577</v>
      </c>
      <c r="N7" s="1">
        <f>SUMIF(B$2:K$2, "5m", B7:K7)</f>
        <v>24303</v>
      </c>
    </row>
    <row r="11" spans="1:14" x14ac:dyDescent="0.2">
      <c r="A11" t="s">
        <v>15</v>
      </c>
      <c r="B11" t="str">
        <f>M1</f>
        <v>Total</v>
      </c>
    </row>
    <row r="12" spans="1:14" x14ac:dyDescent="0.2">
      <c r="A12" t="str">
        <f>A2</f>
        <v>Radius</v>
      </c>
      <c r="B12" t="str">
        <f>M2</f>
        <v>2m</v>
      </c>
      <c r="C12" t="str">
        <f>N2</f>
        <v>5m</v>
      </c>
    </row>
    <row r="13" spans="1:14" x14ac:dyDescent="0.2">
      <c r="A13" t="str">
        <f t="shared" ref="A13:A18" si="0">A3</f>
        <v>Total households</v>
      </c>
      <c r="B13" s="1">
        <f t="shared" ref="B13:B17" si="1">M3</f>
        <v>1621216</v>
      </c>
      <c r="C13" s="1">
        <f t="shared" ref="C13:C17" si="2">N3</f>
        <v>8809876</v>
      </c>
    </row>
    <row r="14" spans="1:14" x14ac:dyDescent="0.2">
      <c r="A14" t="str">
        <f t="shared" si="0"/>
        <v>% Renters</v>
      </c>
      <c r="B14" s="6">
        <f t="shared" si="1"/>
        <v>0.44259999999999999</v>
      </c>
      <c r="C14" s="6">
        <f>N4</f>
        <v>0.44259999999999999</v>
      </c>
    </row>
    <row r="15" spans="1:14" x14ac:dyDescent="0.2">
      <c r="A15" t="str">
        <f t="shared" si="0"/>
        <v>Total Renters</v>
      </c>
      <c r="B15" s="1">
        <f t="shared" si="1"/>
        <v>572064</v>
      </c>
      <c r="C15" s="1">
        <f t="shared" si="2"/>
        <v>3037943</v>
      </c>
    </row>
    <row r="16" spans="1:14" x14ac:dyDescent="0.2">
      <c r="A16" t="str">
        <f t="shared" si="0"/>
        <v>Rental Demand (40% turnover assumption)</v>
      </c>
      <c r="B16" s="1">
        <f t="shared" si="1"/>
        <v>228826</v>
      </c>
      <c r="C16" s="1">
        <f t="shared" si="2"/>
        <v>1215178</v>
      </c>
    </row>
    <row r="19" spans="1:2" x14ac:dyDescent="0.2">
      <c r="A19" t="s">
        <v>16</v>
      </c>
    </row>
    <row r="20" spans="1:2" x14ac:dyDescent="0.2">
      <c r="A20" t="s">
        <v>18</v>
      </c>
    </row>
    <row r="21" spans="1:2" x14ac:dyDescent="0.2">
      <c r="A21" t="s">
        <v>17</v>
      </c>
      <c r="B21">
        <f>supply!B19</f>
        <v>318</v>
      </c>
    </row>
    <row r="22" spans="1:2" x14ac:dyDescent="0.2">
      <c r="A22" t="s">
        <v>19</v>
      </c>
      <c r="B22">
        <f>supply!B20</f>
        <v>312</v>
      </c>
    </row>
    <row r="23" spans="1:2" x14ac:dyDescent="0.2">
      <c r="A23" t="s">
        <v>20</v>
      </c>
      <c r="B23">
        <f>supply!B21</f>
        <v>54</v>
      </c>
    </row>
    <row r="24" spans="1:2" x14ac:dyDescent="0.2">
      <c r="A24" t="s">
        <v>21</v>
      </c>
      <c r="B24">
        <f>supply!B22</f>
        <v>0</v>
      </c>
    </row>
    <row r="25" spans="1:2" x14ac:dyDescent="0.2">
      <c r="A25" t="s">
        <v>22</v>
      </c>
    </row>
    <row r="26" spans="1:2" x14ac:dyDescent="0.2">
      <c r="A26" t="s">
        <v>17</v>
      </c>
      <c r="B26" s="1">
        <f>supply!C19</f>
        <v>1188</v>
      </c>
    </row>
    <row r="27" spans="1:2" x14ac:dyDescent="0.2">
      <c r="A27" t="s">
        <v>19</v>
      </c>
      <c r="B27" s="1">
        <f>supply!C20</f>
        <v>2364</v>
      </c>
    </row>
    <row r="28" spans="1:2" x14ac:dyDescent="0.2">
      <c r="A28" t="s">
        <v>20</v>
      </c>
      <c r="B28" s="1">
        <f>supply!C21</f>
        <v>861</v>
      </c>
    </row>
    <row r="29" spans="1:2" x14ac:dyDescent="0.2">
      <c r="A29" t="s">
        <v>21</v>
      </c>
      <c r="B29" s="1">
        <f>supply!C22</f>
        <v>151</v>
      </c>
    </row>
    <row r="30" spans="1:2" x14ac:dyDescent="0.2">
      <c r="A30" t="s">
        <v>23</v>
      </c>
    </row>
    <row r="31" spans="1:2" x14ac:dyDescent="0.2">
      <c r="A31" t="s">
        <v>17</v>
      </c>
      <c r="B31" s="1">
        <f>supply!D19</f>
        <v>1475</v>
      </c>
    </row>
    <row r="32" spans="1:2" x14ac:dyDescent="0.2">
      <c r="A32" t="s">
        <v>19</v>
      </c>
      <c r="B32" s="1">
        <f>supply!D20</f>
        <v>3508</v>
      </c>
    </row>
    <row r="33" spans="1:3" x14ac:dyDescent="0.2">
      <c r="A33" t="s">
        <v>20</v>
      </c>
      <c r="B33" s="1">
        <f>supply!D21</f>
        <v>1024</v>
      </c>
    </row>
    <row r="34" spans="1:3" x14ac:dyDescent="0.2">
      <c r="A34" t="s">
        <v>21</v>
      </c>
      <c r="B34" s="1">
        <f>supply!D22</f>
        <v>25</v>
      </c>
    </row>
    <row r="36" spans="1:3" x14ac:dyDescent="0.2">
      <c r="A36" t="s">
        <v>15</v>
      </c>
      <c r="B36">
        <f>SUM(B21:B34)</f>
        <v>11280</v>
      </c>
    </row>
    <row r="39" spans="1:3" x14ac:dyDescent="0.2">
      <c r="A39" t="str">
        <f>A7</f>
        <v>Addressable Demand (2% capture)</v>
      </c>
      <c r="B39" s="1">
        <f>M7</f>
        <v>4577</v>
      </c>
      <c r="C39" s="1">
        <f>N7</f>
        <v>24303</v>
      </c>
    </row>
  </sheetData>
  <mergeCells count="5">
    <mergeCell ref="B1:C1"/>
    <mergeCell ref="D1:E1"/>
    <mergeCell ref="F1:G1"/>
    <mergeCell ref="H1:I1"/>
    <mergeCell ref="J1:K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7065-D3DB-0344-94D0-6E8DFDE66870}">
  <dimension ref="A1:G48"/>
  <sheetViews>
    <sheetView workbookViewId="0">
      <selection sqref="A1:G48"/>
    </sheetView>
  </sheetViews>
  <sheetFormatPr baseColWidth="10" defaultRowHeight="16" x14ac:dyDescent="0.2"/>
  <sheetData>
    <row r="1" spans="1:7" x14ac:dyDescent="0.2">
      <c r="A1" t="s">
        <v>6</v>
      </c>
      <c r="B1" t="s">
        <v>24</v>
      </c>
      <c r="C1" t="s">
        <v>24</v>
      </c>
      <c r="D1" t="s">
        <v>24</v>
      </c>
      <c r="E1" t="s">
        <v>25</v>
      </c>
      <c r="F1" t="s">
        <v>25</v>
      </c>
      <c r="G1" t="s">
        <v>25</v>
      </c>
    </row>
    <row r="2" spans="1:7" x14ac:dyDescent="0.2">
      <c r="A2" t="s">
        <v>26</v>
      </c>
      <c r="B2" t="s">
        <v>27</v>
      </c>
      <c r="C2" t="s">
        <v>28</v>
      </c>
      <c r="D2" t="s">
        <v>29</v>
      </c>
      <c r="E2" t="s">
        <v>27</v>
      </c>
      <c r="F2" t="s">
        <v>28</v>
      </c>
      <c r="G2" t="s">
        <v>29</v>
      </c>
    </row>
    <row r="3" spans="1:7" x14ac:dyDescent="0.2">
      <c r="A3" t="s">
        <v>30</v>
      </c>
    </row>
    <row r="4" spans="1:7" x14ac:dyDescent="0.2">
      <c r="A4" t="s">
        <v>31</v>
      </c>
      <c r="B4">
        <v>0.501</v>
      </c>
      <c r="C4">
        <v>0.39079999999999998</v>
      </c>
      <c r="D4">
        <v>0.35809999999999997</v>
      </c>
      <c r="E4">
        <v>0.51029999999999998</v>
      </c>
      <c r="F4">
        <v>0.46929999999999999</v>
      </c>
      <c r="G4">
        <v>0.46229999999999999</v>
      </c>
    </row>
    <row r="5" spans="1:7" x14ac:dyDescent="0.2">
      <c r="A5" t="s">
        <v>32</v>
      </c>
      <c r="B5">
        <v>0.4365</v>
      </c>
      <c r="C5">
        <v>0.51949999999999996</v>
      </c>
      <c r="D5">
        <v>0.68720000000000003</v>
      </c>
      <c r="E5">
        <v>0.41270000000000001</v>
      </c>
      <c r="F5">
        <v>0.52139999999999997</v>
      </c>
      <c r="G5">
        <v>0.69710000000000005</v>
      </c>
    </row>
    <row r="6" spans="1:7" x14ac:dyDescent="0.2">
      <c r="A6" t="s">
        <v>33</v>
      </c>
      <c r="B6">
        <v>0.125</v>
      </c>
      <c r="C6">
        <v>0.30549999999999999</v>
      </c>
      <c r="D6">
        <v>0.25140000000000001</v>
      </c>
      <c r="E6">
        <v>0.12509999999999999</v>
      </c>
      <c r="F6">
        <v>0.28499999999999998</v>
      </c>
      <c r="G6">
        <v>0.37440000000000001</v>
      </c>
    </row>
    <row r="7" spans="1:7" x14ac:dyDescent="0.2">
      <c r="A7" t="s">
        <v>34</v>
      </c>
      <c r="C7">
        <v>9.9900000000000003E-2</v>
      </c>
      <c r="D7">
        <v>6.7900000000000002E-2</v>
      </c>
      <c r="E7">
        <v>1</v>
      </c>
      <c r="F7">
        <v>0.23880000000000001</v>
      </c>
      <c r="G7">
        <v>0.64610000000000001</v>
      </c>
    </row>
    <row r="8" spans="1:7" x14ac:dyDescent="0.2">
      <c r="A8" t="s">
        <v>35</v>
      </c>
      <c r="C8">
        <v>0.3241</v>
      </c>
      <c r="D8">
        <v>0.14149999999999999</v>
      </c>
      <c r="E8">
        <v>9.9000000000000005E-2</v>
      </c>
      <c r="F8">
        <v>0.28839999999999999</v>
      </c>
      <c r="G8">
        <v>0.36270000000000002</v>
      </c>
    </row>
    <row r="9" spans="1:7" x14ac:dyDescent="0.2">
      <c r="A9" t="s">
        <v>36</v>
      </c>
      <c r="B9">
        <v>2</v>
      </c>
      <c r="C9">
        <v>1</v>
      </c>
      <c r="D9">
        <v>1</v>
      </c>
      <c r="E9">
        <v>2</v>
      </c>
      <c r="F9">
        <v>2</v>
      </c>
      <c r="G9">
        <v>1</v>
      </c>
    </row>
    <row r="10" spans="1:7" x14ac:dyDescent="0.2">
      <c r="A10" t="s">
        <v>37</v>
      </c>
      <c r="B10" s="1">
        <v>2090</v>
      </c>
      <c r="C10" s="1">
        <v>1252</v>
      </c>
      <c r="D10" s="1">
        <v>1164</v>
      </c>
      <c r="E10" s="1">
        <v>1873</v>
      </c>
      <c r="F10" s="1">
        <v>1498</v>
      </c>
      <c r="G10" s="1">
        <v>1281</v>
      </c>
    </row>
    <row r="11" spans="1:7" x14ac:dyDescent="0.2">
      <c r="A11" t="s">
        <v>38</v>
      </c>
      <c r="B11">
        <v>982</v>
      </c>
      <c r="C11" s="1">
        <v>1031</v>
      </c>
      <c r="D11">
        <v>976</v>
      </c>
      <c r="E11">
        <v>947</v>
      </c>
      <c r="F11" s="1">
        <v>1074</v>
      </c>
      <c r="G11">
        <v>950</v>
      </c>
    </row>
    <row r="12" spans="1:7" x14ac:dyDescent="0.2">
      <c r="A12" t="s">
        <v>39</v>
      </c>
      <c r="C12">
        <v>1</v>
      </c>
      <c r="D12">
        <v>1</v>
      </c>
      <c r="F12">
        <v>1</v>
      </c>
      <c r="G12">
        <v>1</v>
      </c>
    </row>
    <row r="13" spans="1:7" x14ac:dyDescent="0.2">
      <c r="A13" t="s">
        <v>40</v>
      </c>
      <c r="C13" s="1">
        <v>1724</v>
      </c>
      <c r="D13" s="1">
        <v>2079</v>
      </c>
      <c r="F13" s="1">
        <v>2267</v>
      </c>
      <c r="G13" s="1">
        <v>2264</v>
      </c>
    </row>
    <row r="14" spans="1:7" x14ac:dyDescent="0.2">
      <c r="A14" t="s">
        <v>41</v>
      </c>
      <c r="C14" s="1">
        <v>1644</v>
      </c>
      <c r="D14" s="1">
        <v>1925</v>
      </c>
      <c r="F14" s="1">
        <v>1828</v>
      </c>
      <c r="G14" s="1">
        <v>1765</v>
      </c>
    </row>
    <row r="15" spans="1:7" x14ac:dyDescent="0.2">
      <c r="A15" t="s">
        <v>42</v>
      </c>
      <c r="C15">
        <v>1</v>
      </c>
      <c r="D15">
        <v>1</v>
      </c>
      <c r="F15">
        <v>1</v>
      </c>
      <c r="G15">
        <v>1</v>
      </c>
    </row>
    <row r="16" spans="1:7" x14ac:dyDescent="0.2">
      <c r="A16" t="s">
        <v>43</v>
      </c>
      <c r="C16" s="1">
        <v>1652</v>
      </c>
      <c r="D16" s="1">
        <v>2058</v>
      </c>
      <c r="F16" s="1">
        <v>2210</v>
      </c>
      <c r="G16" s="1">
        <v>2245</v>
      </c>
    </row>
    <row r="17" spans="1:7" x14ac:dyDescent="0.2">
      <c r="A17" t="s">
        <v>44</v>
      </c>
      <c r="C17">
        <v>0.1595</v>
      </c>
      <c r="D17">
        <v>0.12</v>
      </c>
      <c r="F17">
        <v>9.9699999999999997E-2</v>
      </c>
      <c r="G17">
        <v>6.5000000000000002E-2</v>
      </c>
    </row>
    <row r="18" spans="1:7" x14ac:dyDescent="0.2">
      <c r="A18" t="s">
        <v>45</v>
      </c>
      <c r="B18">
        <v>0</v>
      </c>
      <c r="C18">
        <v>58</v>
      </c>
      <c r="D18">
        <v>3</v>
      </c>
      <c r="E18">
        <v>0</v>
      </c>
      <c r="F18">
        <v>66</v>
      </c>
      <c r="G18">
        <v>6</v>
      </c>
    </row>
    <row r="19" spans="1:7" x14ac:dyDescent="0.2">
      <c r="A19" t="s">
        <v>46</v>
      </c>
      <c r="B19">
        <v>318</v>
      </c>
      <c r="C19" s="1">
        <v>1188</v>
      </c>
      <c r="D19" s="1">
        <v>1475</v>
      </c>
      <c r="E19" s="1">
        <v>5277</v>
      </c>
      <c r="F19" s="1">
        <v>8920</v>
      </c>
      <c r="G19" s="1">
        <v>5728</v>
      </c>
    </row>
    <row r="20" spans="1:7" x14ac:dyDescent="0.2">
      <c r="A20" t="s">
        <v>47</v>
      </c>
      <c r="B20">
        <v>312</v>
      </c>
      <c r="C20" s="1">
        <v>2364</v>
      </c>
      <c r="D20" s="1">
        <v>3508</v>
      </c>
      <c r="E20" s="1">
        <v>4271</v>
      </c>
      <c r="F20" s="1">
        <v>11057</v>
      </c>
      <c r="G20" s="1">
        <v>10270</v>
      </c>
    </row>
    <row r="21" spans="1:7" x14ac:dyDescent="0.2">
      <c r="A21" t="s">
        <v>48</v>
      </c>
      <c r="B21">
        <v>54</v>
      </c>
      <c r="C21">
        <v>861</v>
      </c>
      <c r="D21" s="1">
        <v>1024</v>
      </c>
      <c r="E21">
        <v>645</v>
      </c>
      <c r="F21" s="1">
        <v>2710</v>
      </c>
      <c r="G21" s="1">
        <v>2606</v>
      </c>
    </row>
    <row r="22" spans="1:7" x14ac:dyDescent="0.2">
      <c r="A22" t="s">
        <v>49</v>
      </c>
      <c r="B22">
        <v>0</v>
      </c>
      <c r="C22">
        <v>151</v>
      </c>
      <c r="D22">
        <v>25</v>
      </c>
      <c r="E22">
        <v>0</v>
      </c>
      <c r="F22">
        <v>262</v>
      </c>
      <c r="G22">
        <v>110</v>
      </c>
    </row>
    <row r="23" spans="1:7" x14ac:dyDescent="0.2">
      <c r="A23" t="s">
        <v>50</v>
      </c>
      <c r="B23">
        <v>400</v>
      </c>
      <c r="C23" s="1">
        <v>6876</v>
      </c>
      <c r="D23" s="1">
        <v>11059</v>
      </c>
      <c r="E23" s="1">
        <v>9592</v>
      </c>
      <c r="F23" s="1">
        <v>36917</v>
      </c>
      <c r="G23" s="1">
        <v>27759</v>
      </c>
    </row>
    <row r="24" spans="1:7" x14ac:dyDescent="0.2">
      <c r="A24" t="s">
        <v>51</v>
      </c>
      <c r="B24">
        <v>2</v>
      </c>
      <c r="C24">
        <v>1</v>
      </c>
      <c r="D24">
        <v>1</v>
      </c>
      <c r="E24">
        <v>2</v>
      </c>
      <c r="F24">
        <v>2</v>
      </c>
      <c r="G24">
        <v>2</v>
      </c>
    </row>
    <row r="25" spans="1:7" x14ac:dyDescent="0.2">
      <c r="A25" t="s">
        <v>52</v>
      </c>
      <c r="B25" s="1">
        <v>1831</v>
      </c>
      <c r="C25" s="1">
        <v>1083</v>
      </c>
      <c r="D25" s="1">
        <v>1020</v>
      </c>
      <c r="E25" s="1">
        <v>1633</v>
      </c>
      <c r="F25" s="1">
        <v>1281</v>
      </c>
      <c r="G25" s="1">
        <v>1106</v>
      </c>
    </row>
    <row r="26" spans="1:7" x14ac:dyDescent="0.2">
      <c r="A26" t="s">
        <v>53</v>
      </c>
      <c r="B26">
        <v>816</v>
      </c>
      <c r="C26">
        <v>776</v>
      </c>
      <c r="D26">
        <v>734</v>
      </c>
      <c r="E26">
        <v>782</v>
      </c>
      <c r="F26">
        <v>782</v>
      </c>
      <c r="G26">
        <v>729</v>
      </c>
    </row>
    <row r="27" spans="1:7" x14ac:dyDescent="0.2">
      <c r="A27" t="s">
        <v>54</v>
      </c>
      <c r="B27">
        <v>2</v>
      </c>
      <c r="C27">
        <v>1</v>
      </c>
      <c r="D27">
        <v>1</v>
      </c>
      <c r="E27">
        <v>2</v>
      </c>
      <c r="F27">
        <v>2</v>
      </c>
      <c r="G27">
        <v>2</v>
      </c>
    </row>
    <row r="28" spans="1:7" x14ac:dyDescent="0.2">
      <c r="A28" t="s">
        <v>55</v>
      </c>
      <c r="B28" s="1">
        <v>1809</v>
      </c>
      <c r="C28" s="1">
        <v>1064</v>
      </c>
      <c r="D28" s="1">
        <v>1004</v>
      </c>
      <c r="E28" s="1">
        <v>1592</v>
      </c>
      <c r="F28" s="1">
        <v>1254</v>
      </c>
      <c r="G28" s="1">
        <v>1090</v>
      </c>
    </row>
    <row r="29" spans="1:7" x14ac:dyDescent="0.2">
      <c r="A29" t="s">
        <v>56</v>
      </c>
      <c r="B29">
        <v>3.1199999999999999E-2</v>
      </c>
      <c r="C29">
        <v>0.11459999999999999</v>
      </c>
      <c r="D29">
        <v>0.13039999999999999</v>
      </c>
      <c r="E29">
        <v>8.6300000000000002E-2</v>
      </c>
      <c r="F29">
        <v>0.1101</v>
      </c>
      <c r="G29">
        <v>0.10970000000000001</v>
      </c>
    </row>
    <row r="30" spans="1:7" x14ac:dyDescent="0.2">
      <c r="A30" t="s">
        <v>57</v>
      </c>
      <c r="C30">
        <v>2</v>
      </c>
      <c r="D30">
        <v>1</v>
      </c>
      <c r="E30">
        <v>3</v>
      </c>
      <c r="F30">
        <v>2</v>
      </c>
      <c r="G30">
        <v>2</v>
      </c>
    </row>
    <row r="31" spans="1:7" x14ac:dyDescent="0.2">
      <c r="A31" t="s">
        <v>58</v>
      </c>
      <c r="C31">
        <v>911</v>
      </c>
      <c r="D31">
        <v>762</v>
      </c>
      <c r="E31" s="1">
        <v>1533</v>
      </c>
      <c r="F31" s="1">
        <v>1280</v>
      </c>
      <c r="G31">
        <v>921</v>
      </c>
    </row>
    <row r="32" spans="1:7" x14ac:dyDescent="0.2">
      <c r="A32" t="s">
        <v>59</v>
      </c>
      <c r="C32">
        <v>583</v>
      </c>
      <c r="D32">
        <v>537</v>
      </c>
      <c r="E32">
        <v>586</v>
      </c>
      <c r="F32">
        <v>565</v>
      </c>
      <c r="G32">
        <v>502</v>
      </c>
    </row>
    <row r="33" spans="1:7" x14ac:dyDescent="0.2">
      <c r="A33" t="s">
        <v>60</v>
      </c>
      <c r="C33">
        <v>2</v>
      </c>
      <c r="D33">
        <v>1</v>
      </c>
      <c r="E33">
        <v>3</v>
      </c>
      <c r="F33">
        <v>2</v>
      </c>
      <c r="G33">
        <v>2</v>
      </c>
    </row>
    <row r="34" spans="1:7" x14ac:dyDescent="0.2">
      <c r="A34" t="s">
        <v>61</v>
      </c>
      <c r="C34">
        <v>904</v>
      </c>
      <c r="D34">
        <v>757</v>
      </c>
      <c r="E34" s="1">
        <v>1485</v>
      </c>
      <c r="F34" s="1">
        <v>1253</v>
      </c>
      <c r="G34">
        <v>911</v>
      </c>
    </row>
    <row r="35" spans="1:7" x14ac:dyDescent="0.2">
      <c r="A35" t="s">
        <v>62</v>
      </c>
      <c r="C35">
        <v>2.06E-2</v>
      </c>
      <c r="D35">
        <v>0.121</v>
      </c>
      <c r="E35">
        <v>7.2499999999999995E-2</v>
      </c>
      <c r="F35">
        <v>4.6699999999999998E-2</v>
      </c>
      <c r="G35">
        <v>9.3299999999999994E-2</v>
      </c>
    </row>
    <row r="36" spans="1:7" x14ac:dyDescent="0.2">
      <c r="A36" t="s">
        <v>63</v>
      </c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</row>
    <row r="37" spans="1:7" x14ac:dyDescent="0.2">
      <c r="A37" t="s">
        <v>64</v>
      </c>
      <c r="B37" s="1">
        <v>1697</v>
      </c>
      <c r="C37" s="1">
        <v>1549</v>
      </c>
      <c r="D37" s="1">
        <v>1440</v>
      </c>
      <c r="E37" s="1">
        <v>2684</v>
      </c>
      <c r="F37" s="1">
        <v>1923</v>
      </c>
      <c r="G37" s="1">
        <v>1625</v>
      </c>
    </row>
    <row r="38" spans="1:7" x14ac:dyDescent="0.2">
      <c r="A38" t="s">
        <v>65</v>
      </c>
      <c r="B38" s="1">
        <v>1415</v>
      </c>
      <c r="C38" s="1">
        <v>1363</v>
      </c>
      <c r="D38" s="1">
        <v>1316</v>
      </c>
      <c r="E38" s="1">
        <v>1424</v>
      </c>
      <c r="F38" s="1">
        <v>1445</v>
      </c>
      <c r="G38" s="1">
        <v>1318</v>
      </c>
    </row>
    <row r="39" spans="1:7" x14ac:dyDescent="0.2">
      <c r="A39" t="s">
        <v>66</v>
      </c>
      <c r="B39">
        <v>1</v>
      </c>
      <c r="C39">
        <v>1</v>
      </c>
      <c r="D39">
        <v>1</v>
      </c>
      <c r="E39">
        <v>2</v>
      </c>
      <c r="F39">
        <v>1</v>
      </c>
      <c r="G39">
        <v>1</v>
      </c>
    </row>
    <row r="40" spans="1:7" x14ac:dyDescent="0.2">
      <c r="A40" t="s">
        <v>67</v>
      </c>
      <c r="B40" s="1">
        <v>1640</v>
      </c>
      <c r="C40" s="1">
        <v>1523</v>
      </c>
      <c r="D40" s="1">
        <v>1418</v>
      </c>
      <c r="E40" s="1">
        <v>2595</v>
      </c>
      <c r="F40" s="1">
        <v>1882</v>
      </c>
      <c r="G40" s="1">
        <v>1601</v>
      </c>
    </row>
    <row r="41" spans="1:7" x14ac:dyDescent="0.2">
      <c r="A41" t="s">
        <v>68</v>
      </c>
      <c r="B41">
        <v>6.0499999999999998E-2</v>
      </c>
      <c r="C41">
        <v>0.11840000000000001</v>
      </c>
      <c r="D41">
        <v>0.1709</v>
      </c>
      <c r="E41">
        <v>9.3700000000000006E-2</v>
      </c>
      <c r="F41">
        <v>0.1072</v>
      </c>
      <c r="G41">
        <v>0.108</v>
      </c>
    </row>
    <row r="42" spans="1:7" x14ac:dyDescent="0.2">
      <c r="A42" t="s">
        <v>69</v>
      </c>
      <c r="B42">
        <v>2</v>
      </c>
      <c r="C42">
        <v>1</v>
      </c>
      <c r="D42">
        <v>1</v>
      </c>
      <c r="E42">
        <v>2</v>
      </c>
      <c r="F42">
        <v>1</v>
      </c>
      <c r="G42">
        <v>1</v>
      </c>
    </row>
    <row r="43" spans="1:7" x14ac:dyDescent="0.2">
      <c r="A43" t="s">
        <v>70</v>
      </c>
      <c r="B43" s="1">
        <v>2312</v>
      </c>
      <c r="C43" s="1">
        <v>1284</v>
      </c>
      <c r="D43" s="1">
        <v>1184</v>
      </c>
      <c r="E43" s="1">
        <v>2140</v>
      </c>
      <c r="F43" s="1">
        <v>1581</v>
      </c>
      <c r="G43" s="1">
        <v>1305</v>
      </c>
    </row>
    <row r="44" spans="1:7" x14ac:dyDescent="0.2">
      <c r="A44" t="s">
        <v>71</v>
      </c>
      <c r="B44" s="1">
        <v>1112</v>
      </c>
      <c r="C44" s="1">
        <v>1097</v>
      </c>
      <c r="D44" s="1">
        <v>1035</v>
      </c>
      <c r="E44" s="1">
        <v>1127</v>
      </c>
      <c r="F44" s="1">
        <v>1129</v>
      </c>
      <c r="G44" s="1">
        <v>1002</v>
      </c>
    </row>
    <row r="45" spans="1:7" x14ac:dyDescent="0.2">
      <c r="A45" t="s">
        <v>72</v>
      </c>
      <c r="B45">
        <v>2</v>
      </c>
      <c r="C45">
        <v>1</v>
      </c>
      <c r="D45">
        <v>1</v>
      </c>
      <c r="E45">
        <v>2</v>
      </c>
      <c r="F45">
        <v>1</v>
      </c>
      <c r="G45">
        <v>1</v>
      </c>
    </row>
    <row r="46" spans="1:7" x14ac:dyDescent="0.2">
      <c r="A46" t="s">
        <v>73</v>
      </c>
      <c r="B46" s="1">
        <v>2285</v>
      </c>
      <c r="C46" s="1">
        <v>1264</v>
      </c>
      <c r="D46" s="1">
        <v>1168</v>
      </c>
      <c r="E46" s="1">
        <v>2080</v>
      </c>
      <c r="F46" s="1">
        <v>1549</v>
      </c>
      <c r="G46" s="1">
        <v>1285</v>
      </c>
    </row>
    <row r="47" spans="1:7" x14ac:dyDescent="0.2">
      <c r="A47" t="s">
        <v>74</v>
      </c>
      <c r="B47">
        <v>3.6700000000000003E-2</v>
      </c>
      <c r="C47">
        <v>0.115</v>
      </c>
      <c r="D47">
        <v>0.1023</v>
      </c>
      <c r="E47">
        <v>8.9599999999999999E-2</v>
      </c>
      <c r="F47">
        <v>0.11360000000000001</v>
      </c>
      <c r="G47">
        <v>9.6100000000000005E-2</v>
      </c>
    </row>
    <row r="48" spans="1:7" x14ac:dyDescent="0.2">
      <c r="A48" t="s">
        <v>75</v>
      </c>
      <c r="B48">
        <v>3.9300000000000002E-2</v>
      </c>
      <c r="C48">
        <v>0.14030000000000001</v>
      </c>
      <c r="D48">
        <v>0.1308</v>
      </c>
      <c r="E48">
        <v>8.8599999999999998E-2</v>
      </c>
      <c r="F48">
        <v>0.1206</v>
      </c>
      <c r="G48">
        <v>0.12889999999999999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demand_display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2026-04-10T21:39:23Z</dcterms:created>
  <dcterms:modified xsi:type="dcterms:W3CDTF">2026-04-11T00:36:35Z</dcterms:modified>
</cp:coreProperties>
</file>