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8_{D49B2EAF-BD6E-FA40-9EDF-8F22943A3396}" xr6:coauthVersionLast="47" xr6:coauthVersionMax="47" xr10:uidLastSave="{00000000-0000-0000-0000-000000000000}"/>
  <bookViews>
    <workbookView xWindow="0" yWindow="500" windowWidth="28800" windowHeight="15940" xr2:uid="{A72E29D3-D016-474C-B07E-5BAE37B17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<sst xmlns="http://schemas.openxmlformats.org/spreadsheetml/2006/main" count="614" uniqueCount="250">
  <si>
    <t>Address</t>
  </si>
  <si>
    <t>Building Name / Owner</t>
  </si>
  <si>
    <t>Year Built</t>
  </si>
  <si>
    <t>Total RBA (SF)</t>
  </si>
  <si>
    <t>Land Area (AC)</t>
  </si>
  <si>
    <t>% Leased</t>
  </si>
  <si>
    <t>Rent/SF</t>
  </si>
  <si>
    <t>Primary Use</t>
  </si>
  <si>
    <t>Anchor Tenants</t>
  </si>
  <si>
    <t>Average Weighted Rent</t>
  </si>
  <si>
    <t>Avg Rent-Direct (Retail)</t>
  </si>
  <si>
    <t>Avg Rent-Sublet (Retail)</t>
  </si>
  <si>
    <t>Building Operating Expenses</t>
  </si>
  <si>
    <t>Building Park</t>
  </si>
  <si>
    <t>Building Status</t>
  </si>
  <si>
    <t>Building Tax Expenses</t>
  </si>
  <si>
    <t>City</t>
  </si>
  <si>
    <t>Collateral Type</t>
  </si>
  <si>
    <t>Condo</t>
  </si>
  <si>
    <t>Construction Begin</t>
  </si>
  <si>
    <t>Continent</t>
  </si>
  <si>
    <t>Country</t>
  </si>
  <si>
    <t>County Name</t>
  </si>
  <si>
    <t>Coworking Available Space</t>
  </si>
  <si>
    <t>Cross Street</t>
  </si>
  <si>
    <t>Developer Name</t>
  </si>
  <si>
    <t>Direct Available Space</t>
  </si>
  <si>
    <t>Direct Services</t>
  </si>
  <si>
    <t>Direct Vacant Space</t>
  </si>
  <si>
    <t>Features</t>
  </si>
  <si>
    <t>Fema Flood Zone</t>
  </si>
  <si>
    <t>FEMA Map Date</t>
  </si>
  <si>
    <t>FEMA Map Identifier</t>
  </si>
  <si>
    <t>FIRM ID</t>
  </si>
  <si>
    <t>FIRM Panel Number</t>
  </si>
  <si>
    <t>Flood Risk Area</t>
  </si>
  <si>
    <t>Floodplain Area</t>
  </si>
  <si>
    <t>For Sale Price Per SF</t>
  </si>
  <si>
    <t>Fund Name</t>
  </si>
  <si>
    <t>Has Lab Space</t>
  </si>
  <si>
    <t>In SFHA</t>
  </si>
  <si>
    <t>Interest Rate</t>
  </si>
  <si>
    <t>Interest Rate Type</t>
  </si>
  <si>
    <t>Land Area (SF)</t>
  </si>
  <si>
    <t>Leasing Company Address</t>
  </si>
  <si>
    <t>Leasing Company City State Zip</t>
  </si>
  <si>
    <t>Leasing Company Contact</t>
  </si>
  <si>
    <t>Leasing Company Fax</t>
  </si>
  <si>
    <t>Leasing Company Name</t>
  </si>
  <si>
    <t>Leasing Company Phone</t>
  </si>
  <si>
    <t>Loan Type</t>
  </si>
  <si>
    <t>Maturity Date</t>
  </si>
  <si>
    <t>Max Floor Contiguous Space</t>
  </si>
  <si>
    <t>Month Renovated</t>
  </si>
  <si>
    <t>Number Of Parking Spaces</t>
  </si>
  <si>
    <t>Number Of Stories</t>
  </si>
  <si>
    <t>Origination Amount</t>
  </si>
  <si>
    <t>Origination Date</t>
  </si>
  <si>
    <t>Originator</t>
  </si>
  <si>
    <t>Owner Name</t>
  </si>
  <si>
    <t>Parking Ratio</t>
  </si>
  <si>
    <t>Percent Leased</t>
  </si>
  <si>
    <t>Property Address</t>
  </si>
  <si>
    <t>Property Manager Name</t>
  </si>
  <si>
    <t>Property Name</t>
  </si>
  <si>
    <t>Property Type</t>
  </si>
  <si>
    <t>PropertyID</t>
  </si>
  <si>
    <t>RBA</t>
  </si>
  <si>
    <t>Sales Company</t>
  </si>
  <si>
    <t>Sales Contact</t>
  </si>
  <si>
    <t>Sales Contact Phone</t>
  </si>
  <si>
    <t>Smallest Available Space</t>
  </si>
  <si>
    <t>State</t>
  </si>
  <si>
    <t>Subcontinent</t>
  </si>
  <si>
    <t>Sublet Available Space</t>
  </si>
  <si>
    <t>Sublet Services</t>
  </si>
  <si>
    <t>Submarket Cluster</t>
  </si>
  <si>
    <t>Submarket Name</t>
  </si>
  <si>
    <t>Total Available Space (SF)</t>
  </si>
  <si>
    <t>Year Renovated</t>
  </si>
  <si>
    <t>Zip</t>
  </si>
  <si>
    <t>215 Clairemont Ave</t>
  </si>
  <si>
    <t>Genco Real Estate LLC</t>
  </si>
  <si>
    <t>Storefront Retail/Office</t>
  </si>
  <si>
    <t>2025 Tax @ $1.8645/sf</t>
  </si>
  <si>
    <t>Existing</t>
  </si>
  <si>
    <t>Decatur</t>
  </si>
  <si>
    <t>Single</t>
  </si>
  <si>
    <t>No</t>
  </si>
  <si>
    <t>Americas</t>
  </si>
  <si>
    <t>United States</t>
  </si>
  <si>
    <t>DeKalb</t>
  </si>
  <si>
    <t>Triple Net</t>
  </si>
  <si>
    <t>Air Conditioning, Pylon Sign, Signage, Storage Space</t>
  </si>
  <si>
    <t>False</t>
  </si>
  <si>
    <t>Variable</t>
  </si>
  <si>
    <t>Eric Carlton</t>
  </si>
  <si>
    <t>Oakhurst Realty Partners</t>
  </si>
  <si>
    <t>12/02/2021</t>
  </si>
  <si>
    <t>ReadyCap Lending LLC</t>
  </si>
  <si>
    <t>Retail (Strip Center)</t>
  </si>
  <si>
    <t>GA</t>
  </si>
  <si>
    <t>North America</t>
  </si>
  <si>
    <t>Dekalb</t>
  </si>
  <si>
    <t>Decatur/East Atl</t>
  </si>
  <si>
    <t>30030</t>
  </si>
  <si>
    <t>619-647 E College Ave</t>
  </si>
  <si>
    <t>Meghan Byrne, LLC</t>
  </si>
  <si>
    <t>1945/04</t>
  </si>
  <si>
    <t>Freestanding</t>
  </si>
  <si>
    <t>2025 Tax @ $0.3127/sf</t>
  </si>
  <si>
    <t>East Decatur Station</t>
  </si>
  <si>
    <t>Property Manager on Site, Pylon Sign, Restaurant, Signage, Skyway, Storage Space, Tenant Controlled HVAC</t>
  </si>
  <si>
    <t>Area of moderate flood hazard, usually the area between the limits of the 100-year and 500-year floods.</t>
  </si>
  <si>
    <t>08/15/2019</t>
  </si>
  <si>
    <t>13089C0068K</t>
  </si>
  <si>
    <t>13089C</t>
  </si>
  <si>
    <t>0068K</t>
  </si>
  <si>
    <t>Moderate to Low Risk Areas</t>
  </si>
  <si>
    <t>100-year and 500-year Floodplain</t>
  </si>
  <si>
    <t>Retail</t>
  </si>
  <si>
    <t>119-123 E Court Sq</t>
  </si>
  <si>
    <t>East Court Square II LLC</t>
  </si>
  <si>
    <t>2025 Tax @ $0.7272/sf</t>
  </si>
  <si>
    <t>Jul 1926</t>
  </si>
  <si>
    <t>Full Service</t>
  </si>
  <si>
    <t>24 Hour Access, Air Conditioning, Tenant Controlled HVAC</t>
  </si>
  <si>
    <t>Susan Poole</t>
  </si>
  <si>
    <t>Corporate Property Advisors, Inc.</t>
  </si>
  <si>
    <t>30030-2521</t>
  </si>
  <si>
    <t>929 Main St</t>
  </si>
  <si>
    <t>—</t>
  </si>
  <si>
    <t>Restaurant</t>
  </si>
  <si>
    <t>2025 Tax @ $0.3654/sf</t>
  </si>
  <si>
    <t>Stone Mountain</t>
  </si>
  <si>
    <t>Modified Gross</t>
  </si>
  <si>
    <t>Corner Lot, Restaurant</t>
  </si>
  <si>
    <t>Cloud Street Development Inc</t>
  </si>
  <si>
    <t>Stone Mtn/Clarkston</t>
  </si>
  <si>
    <t>30083</t>
  </si>
  <si>
    <t>545 N McDonough St</t>
  </si>
  <si>
    <t>The Trust Building</t>
  </si>
  <si>
    <t>1922/18</t>
  </si>
  <si>
    <t>2025 Tax @ $1.1032/sf</t>
  </si>
  <si>
    <t>Air Conditioning</t>
  </si>
  <si>
    <t>Todd Semrau</t>
  </si>
  <si>
    <t>11/02/2035</t>
  </si>
  <si>
    <t>11/03/2010</t>
  </si>
  <si>
    <t>Metro City Bank</t>
  </si>
  <si>
    <t>Apple Towns Llc</t>
  </si>
  <si>
    <t>30030-3310</t>
  </si>
  <si>
    <t>2960 Flowers Rd. S</t>
  </si>
  <si>
    <t>Mercer University</t>
  </si>
  <si>
    <t>Atlanta</t>
  </si>
  <si>
    <t>Bob Stasiowski</t>
  </si>
  <si>
    <t>Atlantic Retail</t>
  </si>
  <si>
    <t>Northlake/I-85</t>
  </si>
  <si>
    <t>30341</t>
  </si>
  <si>
    <t>3088 Briarcliff Rd</t>
  </si>
  <si>
    <t>Stein Investment Group</t>
  </si>
  <si>
    <t>2025 Tax @ $1.2135/sf</t>
  </si>
  <si>
    <t>Williamsburg Village Shopping Center</t>
  </si>
  <si>
    <t>13089C0058K</t>
  </si>
  <si>
    <t>0058K</t>
  </si>
  <si>
    <t>Retail (Neighborhood Center)</t>
  </si>
  <si>
    <t>30329</t>
  </si>
  <si>
    <t>100 N Avondale Rd</t>
  </si>
  <si>
    <t>Alan J Gay</t>
  </si>
  <si>
    <t>1905/11</t>
  </si>
  <si>
    <t>Storefront Retail/Res.</t>
  </si>
  <si>
    <t>2025 Tax @ $3.4606/sf</t>
  </si>
  <si>
    <t>Avondale Estates</t>
  </si>
  <si>
    <t>05/16/2013</t>
  </si>
  <si>
    <t>13089C0069J</t>
  </si>
  <si>
    <t>0069J</t>
  </si>
  <si>
    <t>KW Commercial Atlanta Midtown</t>
  </si>
  <si>
    <t>30002</t>
  </si>
  <si>
    <t>2686 E College Ave</t>
  </si>
  <si>
    <t>The Station</t>
  </si>
  <si>
    <t>Deferred</t>
  </si>
  <si>
    <t>Jan 2026</t>
  </si>
  <si>
    <t>24 Hour Access, Air Conditioning, Signage, Signalized Intersection</t>
  </si>
  <si>
    <t>2686 E College Avenue</t>
  </si>
  <si>
    <t>970 Main St</t>
  </si>
  <si>
    <t>970 Main Street Ventures</t>
  </si>
  <si>
    <t>1935/17</t>
  </si>
  <si>
    <t>2025 Tax @ $1.4247/sf</t>
  </si>
  <si>
    <t>Air Conditioning, Balcony, Corner Lot, PATH, Recessed Lighting, Security System</t>
  </si>
  <si>
    <t>PalmerHouse Properties</t>
  </si>
  <si>
    <t>970 Main Street Ventures LLC</t>
  </si>
  <si>
    <t>30083-3063</t>
  </si>
  <si>
    <t>106-128 N Avondale Rd</t>
  </si>
  <si>
    <t>Retail Space / J. Guest</t>
  </si>
  <si>
    <t>2025 Tax @ $1.4335/sf</t>
  </si>
  <si>
    <t>Multiple</t>
  </si>
  <si>
    <t>Air Conditioning, Signage, Tenant Controlled HVAC</t>
  </si>
  <si>
    <t>Fisher Paty</t>
  </si>
  <si>
    <t>Conventional</t>
  </si>
  <si>
    <t>12/01/2032</t>
  </si>
  <si>
    <t>12/14/2022</t>
  </si>
  <si>
    <t>Peach State Federal Credit Union</t>
  </si>
  <si>
    <t>Jeremy G Guest</t>
  </si>
  <si>
    <t>Retail Space</t>
  </si>
  <si>
    <t>30002-1325</t>
  </si>
  <si>
    <t>17 N Avondale Plz</t>
  </si>
  <si>
    <t>Rubin &amp; Sara Pichulik</t>
  </si>
  <si>
    <t>2025 Tax @ $1.5526/sf</t>
  </si>
  <si>
    <t>Suzanne Eisenberg</t>
  </si>
  <si>
    <t>70 N Avondale Rd</t>
  </si>
  <si>
    <t>The Dale / Avondale Estates</t>
  </si>
  <si>
    <t>May 2024</t>
  </si>
  <si>
    <t>Fabric Developers, LLC</t>
  </si>
  <si>
    <t>Coleman Weatherholtz</t>
  </si>
  <si>
    <t>Healey Weatherholtz Properties</t>
  </si>
  <si>
    <t>City of Avondale Estates</t>
  </si>
  <si>
    <t>The Dale</t>
  </si>
  <si>
    <t>125 E Court Sq</t>
  </si>
  <si>
    <t>Brick Store Pub</t>
  </si>
  <si>
    <t>Bar/Nightclub</t>
  </si>
  <si>
    <t>2025 Tax @ $0.8925/sf</t>
  </si>
  <si>
    <t>Air Conditioning, Wheelchair Accessible</t>
  </si>
  <si>
    <t>01/01/2048</t>
  </si>
  <si>
    <t>01/27/2023</t>
  </si>
  <si>
    <t>Georgia Certified Development</t>
  </si>
  <si>
    <t>975 Main St</t>
  </si>
  <si>
    <t>H &amp; B Associates</t>
  </si>
  <si>
    <t>1900/85</t>
  </si>
  <si>
    <t>2025 Tax @ $2.6816/sf</t>
  </si>
  <si>
    <t>12/08/2016</t>
  </si>
  <si>
    <t>13089C0091K</t>
  </si>
  <si>
    <t>0091K</t>
  </si>
  <si>
    <t>Knapp Commercial Advisors</t>
  </si>
  <si>
    <t>30083-3060</t>
  </si>
  <si>
    <t>2321 Main St</t>
  </si>
  <si>
    <t>Main Street Trust</t>
  </si>
  <si>
    <t>2025 Tax @ $7.1602/sf</t>
  </si>
  <si>
    <t>Tucker</t>
  </si>
  <si>
    <t>30084-4471</t>
  </si>
  <si>
    <t>535 N McDonough St</t>
  </si>
  <si>
    <t>DeWoskin Law Firm LLC</t>
  </si>
  <si>
    <t>2025 Tax @ $1.4020/sf</t>
  </si>
  <si>
    <t>Avison Young</t>
  </si>
  <si>
    <t>Nardone &amp; Crecelius, L.L.C.</t>
  </si>
  <si>
    <t>535 North McDonough Street</t>
  </si>
  <si>
    <t>30030-3309</t>
  </si>
  <si>
    <t>131 E Trinity Pl</t>
  </si>
  <si>
    <t>2025 Tax @ $1.0750/sf</t>
  </si>
  <si>
    <t>Signage</t>
  </si>
  <si>
    <t>A. Barton Lester</t>
  </si>
  <si>
    <t>30030-3303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</si>
</sst>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\$#,##0.0000"/>
    <numFmt numFmtId="165" formatCode="\$#,##0.00"/>
    <numFmt numFmtId="166" formatCode="\$#,##0"/>
  </numFmts>
  <fonts count="4" x14ac:knownFonts="1">
    <font>
      <sz val="12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sz val="11"/>
      <name val="Calibri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8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/>
    <xf numFmtId="166" fontId="0" fillId="0" borderId="0" xfId="0" applyNumberForma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C581-0FA5-FC48-B88A-2CABE95E49FD}">
  <dimension ref="A1:CE19"/>
  <sheetViews>
    <sheetView tabSelected="1" workbookViewId="0">
      <selection sqref="A1:CE19"/>
    </sheetView>
  </sheetViews>
  <sheetFormatPr baseColWidth="10" defaultRowHeight="16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5" t="s">
        <v>4</v>
      </c>
      <c r="AS1" s="6" t="s">
        <v>43</v>
      </c>
      <c r="AT1" s="2" t="s">
        <v>44</v>
      </c>
      <c r="AU1" s="2" t="s">
        <v>45</v>
      </c>
      <c r="AV1" s="2" t="s">
        <v>46</v>
      </c>
      <c r="AW1" s="6" t="s">
        <v>47</v>
      </c>
      <c r="AX1" s="2" t="s">
        <v>48</v>
      </c>
      <c r="AY1" s="6" t="s">
        <v>49</v>
      </c>
      <c r="AZ1" s="2" t="s">
        <v>50</v>
      </c>
      <c r="BA1" s="2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7" t="s">
        <v>56</v>
      </c>
      <c r="BG1" s="2" t="s">
        <v>57</v>
      </c>
      <c r="BH1" s="2" t="s">
        <v>58</v>
      </c>
      <c r="BI1" s="2" t="s">
        <v>59</v>
      </c>
      <c r="BJ1" s="5" t="s">
        <v>60</v>
      </c>
      <c r="BK1" s="5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6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6" t="s">
        <v>2</v>
      </c>
      <c r="CD1" s="6" t="s">
        <v>79</v>
      </c>
      <c r="CE1" s="2" t="s">
        <v>80</v>
      </c>
    </row>
    <row r="2" spans="1:83" x14ac:dyDescent="0.2">
      <c r="A2" s="1" t="s">
        <v>81</v>
      </c>
      <c r="B2" s="8" t="s">
        <v>82</v>
      </c>
      <c r="C2" s="8">
        <v>1984</v>
      </c>
      <c r="D2" s="9">
        <v>5000</v>
      </c>
      <c r="E2" s="8">
        <v>0.48</v>
      </c>
      <c r="F2" s="10">
        <v>0.65200000000000002</v>
      </c>
      <c r="G2" s="11">
        <v>38</v>
      </c>
      <c r="H2" s="8" t="s">
        <v>83</v>
      </c>
      <c r="J2" s="12">
        <v>38</v>
      </c>
      <c r="K2" s="13"/>
      <c r="L2" s="13"/>
      <c r="M2" t="s">
        <v>84</v>
      </c>
      <c r="O2" t="s">
        <v>85</v>
      </c>
      <c r="P2" t="s">
        <v>84</v>
      </c>
      <c r="Q2" t="s">
        <v>86</v>
      </c>
      <c r="R2" t="s">
        <v>87</v>
      </c>
      <c r="S2" t="s">
        <v>88</v>
      </c>
      <c r="U2" t="s">
        <v>89</v>
      </c>
      <c r="V2" t="s">
        <v>90</v>
      </c>
      <c r="W2" t="s">
        <v>91</v>
      </c>
      <c r="X2">
        <v>0</v>
      </c>
      <c r="AA2">
        <v>1742</v>
      </c>
      <c r="AB2" t="s">
        <v>92</v>
      </c>
      <c r="AC2">
        <v>1742</v>
      </c>
      <c r="AD2" t="s">
        <v>93</v>
      </c>
      <c r="AN2" t="s">
        <v>94</v>
      </c>
      <c r="AO2" t="s">
        <v>88</v>
      </c>
      <c r="AQ2" t="s">
        <v>95</v>
      </c>
      <c r="AR2" s="14">
        <v>0.48</v>
      </c>
      <c r="AS2" s="15">
        <v>20909</v>
      </c>
      <c r="AV2" t="s">
        <v>96</v>
      </c>
      <c r="AW2" s="15"/>
      <c r="AX2" t="s">
        <v>97</v>
      </c>
      <c r="AY2" s="15">
        <v>4043714100</v>
      </c>
      <c r="BB2" s="15">
        <v>1742</v>
      </c>
      <c r="BC2" s="15"/>
      <c r="BD2" s="15">
        <v>30</v>
      </c>
      <c r="BE2" s="15">
        <v>1</v>
      </c>
      <c r="BF2" s="16">
        <v>2273800</v>
      </c>
      <c r="BG2" t="s">
        <v>98</v>
      </c>
      <c r="BH2" t="s">
        <v>99</v>
      </c>
      <c r="BI2" t="s">
        <v>82</v>
      </c>
      <c r="BJ2" s="14">
        <v>6</v>
      </c>
      <c r="BK2" s="14">
        <v>65.16</v>
      </c>
      <c r="BL2" t="s">
        <v>81</v>
      </c>
      <c r="BO2" t="s">
        <v>100</v>
      </c>
      <c r="BP2" s="15">
        <v>6087336</v>
      </c>
      <c r="BQ2">
        <v>5000</v>
      </c>
      <c r="BU2">
        <v>1742</v>
      </c>
      <c r="BV2" t="s">
        <v>101</v>
      </c>
      <c r="BW2" t="s">
        <v>102</v>
      </c>
      <c r="BX2">
        <v>0</v>
      </c>
      <c r="BZ2" t="s">
        <v>103</v>
      </c>
      <c r="CA2" t="s">
        <v>104</v>
      </c>
      <c r="CB2">
        <v>1742</v>
      </c>
      <c r="CC2" s="15">
        <v>1984</v>
      </c>
      <c r="CD2" s="15"/>
      <c r="CE2" t="s">
        <v>105</v>
      </c>
    </row>
    <row r="3" spans="1:83" x14ac:dyDescent="0.2">
      <c r="A3" s="1" t="s">
        <v>106</v>
      </c>
      <c r="B3" s="8" t="s">
        <v>107</v>
      </c>
      <c r="C3" s="8" t="s">
        <v>108</v>
      </c>
      <c r="D3" s="9">
        <v>24000</v>
      </c>
      <c r="E3" s="8">
        <v>2.54</v>
      </c>
      <c r="F3" s="10">
        <v>0.79400000000000004</v>
      </c>
      <c r="G3" s="11">
        <v>26</v>
      </c>
      <c r="H3" s="8" t="s">
        <v>109</v>
      </c>
      <c r="J3" s="12">
        <v>23.777799999999999</v>
      </c>
      <c r="K3" s="13">
        <v>26</v>
      </c>
      <c r="L3" s="13"/>
      <c r="M3" t="s">
        <v>110</v>
      </c>
      <c r="N3" t="s">
        <v>111</v>
      </c>
      <c r="O3" t="s">
        <v>85</v>
      </c>
      <c r="P3" t="s">
        <v>110</v>
      </c>
      <c r="Q3" t="s">
        <v>86</v>
      </c>
      <c r="S3" t="s">
        <v>88</v>
      </c>
      <c r="U3" t="s">
        <v>89</v>
      </c>
      <c r="V3" t="s">
        <v>90</v>
      </c>
      <c r="W3" t="s">
        <v>91</v>
      </c>
      <c r="X3">
        <v>0</v>
      </c>
      <c r="AA3">
        <v>4950</v>
      </c>
      <c r="AB3" t="s">
        <v>92</v>
      </c>
      <c r="AC3">
        <v>4950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  <c r="AK3" t="s">
        <v>119</v>
      </c>
      <c r="AN3" t="s">
        <v>94</v>
      </c>
      <c r="AO3" t="s">
        <v>88</v>
      </c>
      <c r="AR3" s="14">
        <v>2.54</v>
      </c>
      <c r="AS3" s="15">
        <v>110642</v>
      </c>
      <c r="AW3" s="15"/>
      <c r="AY3" s="15"/>
      <c r="BB3" s="15">
        <v>2200</v>
      </c>
      <c r="BC3" s="15"/>
      <c r="BD3" s="15">
        <v>65</v>
      </c>
      <c r="BE3" s="15">
        <v>2</v>
      </c>
      <c r="BF3" s="16"/>
      <c r="BI3" t="s">
        <v>107</v>
      </c>
      <c r="BJ3" s="14">
        <v>2.71</v>
      </c>
      <c r="BK3" s="14">
        <v>79.38</v>
      </c>
      <c r="BL3" t="s">
        <v>106</v>
      </c>
      <c r="BO3" t="s">
        <v>120</v>
      </c>
      <c r="BP3" s="15">
        <v>923164</v>
      </c>
      <c r="BQ3">
        <v>24000</v>
      </c>
      <c r="BU3">
        <v>1000</v>
      </c>
      <c r="BV3" t="s">
        <v>101</v>
      </c>
      <c r="BW3" t="s">
        <v>102</v>
      </c>
      <c r="BX3">
        <v>0</v>
      </c>
      <c r="BZ3" t="s">
        <v>103</v>
      </c>
      <c r="CA3" t="s">
        <v>104</v>
      </c>
      <c r="CB3">
        <v>4950</v>
      </c>
      <c r="CC3" s="15">
        <v>1945</v>
      </c>
      <c r="CD3" s="15">
        <v>2004</v>
      </c>
      <c r="CE3" t="s">
        <v>105</v>
      </c>
    </row>
    <row r="4" spans="1:83" x14ac:dyDescent="0.2">
      <c r="A4" s="1" t="s">
        <v>121</v>
      </c>
      <c r="B4" s="8" t="s">
        <v>122</v>
      </c>
      <c r="C4" s="8">
        <v>1927</v>
      </c>
      <c r="D4" s="9">
        <v>14448</v>
      </c>
      <c r="E4" s="8">
        <v>0.17</v>
      </c>
      <c r="F4" s="10">
        <v>0.88700000000000001</v>
      </c>
      <c r="G4" s="11">
        <v>36</v>
      </c>
      <c r="H4" s="8" t="s">
        <v>83</v>
      </c>
      <c r="J4" s="12">
        <v>36</v>
      </c>
      <c r="K4" s="13"/>
      <c r="L4" s="13"/>
      <c r="M4" t="s">
        <v>123</v>
      </c>
      <c r="O4" t="s">
        <v>85</v>
      </c>
      <c r="P4" t="s">
        <v>123</v>
      </c>
      <c r="Q4" t="s">
        <v>86</v>
      </c>
      <c r="S4" t="s">
        <v>88</v>
      </c>
      <c r="T4" t="s">
        <v>124</v>
      </c>
      <c r="U4" t="s">
        <v>89</v>
      </c>
      <c r="V4" t="s">
        <v>90</v>
      </c>
      <c r="W4" t="s">
        <v>91</v>
      </c>
      <c r="X4">
        <v>0</v>
      </c>
      <c r="AA4">
        <v>1629</v>
      </c>
      <c r="AB4" t="s">
        <v>125</v>
      </c>
      <c r="AC4">
        <v>2509</v>
      </c>
      <c r="AD4" t="s">
        <v>126</v>
      </c>
      <c r="AE4" t="s">
        <v>113</v>
      </c>
      <c r="AF4" t="s">
        <v>114</v>
      </c>
      <c r="AG4" t="s">
        <v>115</v>
      </c>
      <c r="AH4" t="s">
        <v>116</v>
      </c>
      <c r="AI4" t="s">
        <v>117</v>
      </c>
      <c r="AJ4" t="s">
        <v>118</v>
      </c>
      <c r="AK4" t="s">
        <v>119</v>
      </c>
      <c r="AN4" t="s">
        <v>94</v>
      </c>
      <c r="AO4" t="s">
        <v>88</v>
      </c>
      <c r="AR4" s="14">
        <v>0.16583999999999999</v>
      </c>
      <c r="AS4" s="15">
        <v>7224</v>
      </c>
      <c r="AV4" t="s">
        <v>127</v>
      </c>
      <c r="AW4" s="15"/>
      <c r="AX4" t="s">
        <v>128</v>
      </c>
      <c r="AY4" s="15">
        <v>4042755741</v>
      </c>
      <c r="BB4" s="15">
        <v>1629</v>
      </c>
      <c r="BC4" s="15"/>
      <c r="BD4" s="15">
        <v>36</v>
      </c>
      <c r="BE4" s="15">
        <v>2</v>
      </c>
      <c r="BF4" s="16"/>
      <c r="BI4" t="s">
        <v>122</v>
      </c>
      <c r="BJ4" s="14">
        <v>2.4900000000000002</v>
      </c>
      <c r="BK4" s="14">
        <v>88.73</v>
      </c>
      <c r="BL4" t="s">
        <v>121</v>
      </c>
      <c r="BM4" t="s">
        <v>128</v>
      </c>
      <c r="BO4" t="s">
        <v>120</v>
      </c>
      <c r="BP4" s="15">
        <v>437449</v>
      </c>
      <c r="BQ4">
        <v>14448</v>
      </c>
      <c r="BU4">
        <v>408</v>
      </c>
      <c r="BV4" t="s">
        <v>101</v>
      </c>
      <c r="BW4" t="s">
        <v>102</v>
      </c>
      <c r="BX4">
        <v>0</v>
      </c>
      <c r="BZ4" t="s">
        <v>103</v>
      </c>
      <c r="CA4" t="s">
        <v>104</v>
      </c>
      <c r="CB4">
        <v>1629</v>
      </c>
      <c r="CC4" s="15">
        <v>1927</v>
      </c>
      <c r="CD4" s="15"/>
      <c r="CE4" t="s">
        <v>129</v>
      </c>
    </row>
    <row r="5" spans="1:83" x14ac:dyDescent="0.2">
      <c r="A5" s="1" t="s">
        <v>130</v>
      </c>
      <c r="B5" s="8" t="s">
        <v>131</v>
      </c>
      <c r="C5" s="8">
        <v>1929</v>
      </c>
      <c r="D5" s="9">
        <v>4052</v>
      </c>
      <c r="E5" s="8">
        <v>7.0000000000000007E-2</v>
      </c>
      <c r="F5" s="10">
        <v>0.57299999999999995</v>
      </c>
      <c r="G5" s="11">
        <v>20</v>
      </c>
      <c r="H5" s="8" t="s">
        <v>132</v>
      </c>
      <c r="J5" s="12">
        <v>20</v>
      </c>
      <c r="K5" s="13">
        <v>20</v>
      </c>
      <c r="L5" s="13"/>
      <c r="M5" t="s">
        <v>133</v>
      </c>
      <c r="O5" t="s">
        <v>85</v>
      </c>
      <c r="P5" t="s">
        <v>133</v>
      </c>
      <c r="Q5" t="s">
        <v>134</v>
      </c>
      <c r="S5" t="s">
        <v>88</v>
      </c>
      <c r="U5" t="s">
        <v>89</v>
      </c>
      <c r="V5" t="s">
        <v>90</v>
      </c>
      <c r="W5" t="s">
        <v>91</v>
      </c>
      <c r="X5">
        <v>0</v>
      </c>
      <c r="AA5">
        <v>1730</v>
      </c>
      <c r="AB5" t="s">
        <v>135</v>
      </c>
      <c r="AC5">
        <v>1730</v>
      </c>
      <c r="AD5" t="s">
        <v>136</v>
      </c>
      <c r="AN5" t="s">
        <v>94</v>
      </c>
      <c r="AO5" t="s">
        <v>88</v>
      </c>
      <c r="AR5" s="14">
        <v>7.0000000000000007E-2</v>
      </c>
      <c r="AS5" s="15">
        <v>3049</v>
      </c>
      <c r="AW5" s="15"/>
      <c r="AY5" s="15"/>
      <c r="BB5" s="15">
        <v>1730</v>
      </c>
      <c r="BC5" s="15"/>
      <c r="BD5" s="15"/>
      <c r="BE5" s="15">
        <v>2</v>
      </c>
      <c r="BF5" s="16"/>
      <c r="BI5" t="s">
        <v>137</v>
      </c>
      <c r="BJ5" s="14">
        <v>0</v>
      </c>
      <c r="BK5" s="14">
        <v>57.31</v>
      </c>
      <c r="BL5" t="s">
        <v>130</v>
      </c>
      <c r="BO5" t="s">
        <v>120</v>
      </c>
      <c r="BP5" s="15">
        <v>13829974</v>
      </c>
      <c r="BQ5">
        <v>4052</v>
      </c>
      <c r="BU5">
        <v>1730</v>
      </c>
      <c r="BV5" t="s">
        <v>101</v>
      </c>
      <c r="BW5" t="s">
        <v>102</v>
      </c>
      <c r="BX5">
        <v>0</v>
      </c>
      <c r="BZ5" t="s">
        <v>103</v>
      </c>
      <c r="CA5" t="s">
        <v>138</v>
      </c>
      <c r="CB5">
        <v>1730</v>
      </c>
      <c r="CC5" s="15">
        <v>1929</v>
      </c>
      <c r="CD5" s="15"/>
      <c r="CE5" t="s">
        <v>139</v>
      </c>
    </row>
    <row r="6" spans="1:83" x14ac:dyDescent="0.2">
      <c r="A6" s="1" t="s">
        <v>140</v>
      </c>
      <c r="B6" s="8" t="s">
        <v>141</v>
      </c>
      <c r="C6" s="8" t="s">
        <v>142</v>
      </c>
      <c r="D6" s="9">
        <v>12754</v>
      </c>
      <c r="E6" s="8">
        <v>0.15</v>
      </c>
      <c r="F6" s="10">
        <v>0.93899999999999995</v>
      </c>
      <c r="G6" s="11">
        <v>30</v>
      </c>
      <c r="H6" s="8" t="s">
        <v>83</v>
      </c>
      <c r="J6" s="12">
        <v>30</v>
      </c>
      <c r="K6" s="13">
        <v>30</v>
      </c>
      <c r="L6" s="13"/>
      <c r="M6" t="s">
        <v>143</v>
      </c>
      <c r="O6" t="s">
        <v>85</v>
      </c>
      <c r="P6" t="s">
        <v>143</v>
      </c>
      <c r="Q6" t="s">
        <v>86</v>
      </c>
      <c r="R6" t="s">
        <v>87</v>
      </c>
      <c r="S6" t="s">
        <v>88</v>
      </c>
      <c r="U6" t="s">
        <v>89</v>
      </c>
      <c r="V6" t="s">
        <v>90</v>
      </c>
      <c r="W6" t="s">
        <v>91</v>
      </c>
      <c r="X6">
        <v>0</v>
      </c>
      <c r="AA6">
        <v>775</v>
      </c>
      <c r="AB6" t="s">
        <v>125</v>
      </c>
      <c r="AC6">
        <v>775</v>
      </c>
      <c r="AD6" t="s">
        <v>144</v>
      </c>
      <c r="AE6" t="s">
        <v>113</v>
      </c>
      <c r="AF6" t="s">
        <v>114</v>
      </c>
      <c r="AG6" t="s">
        <v>115</v>
      </c>
      <c r="AH6" t="s">
        <v>116</v>
      </c>
      <c r="AI6" t="s">
        <v>117</v>
      </c>
      <c r="AJ6" t="s">
        <v>118</v>
      </c>
      <c r="AK6" t="s">
        <v>119</v>
      </c>
      <c r="AN6" t="s">
        <v>94</v>
      </c>
      <c r="AO6" t="s">
        <v>88</v>
      </c>
      <c r="AR6" s="14">
        <v>0.15</v>
      </c>
      <c r="AS6" s="15">
        <v>6534</v>
      </c>
      <c r="AV6" t="s">
        <v>145</v>
      </c>
      <c r="AW6" s="15"/>
      <c r="AX6" t="s">
        <v>97</v>
      </c>
      <c r="AY6" s="15">
        <v>4043714100</v>
      </c>
      <c r="BA6" t="s">
        <v>146</v>
      </c>
      <c r="BB6" s="15">
        <v>775</v>
      </c>
      <c r="BC6" s="15">
        <v>6</v>
      </c>
      <c r="BD6" s="15"/>
      <c r="BE6" s="15">
        <v>2</v>
      </c>
      <c r="BF6" s="16">
        <v>1385000</v>
      </c>
      <c r="BG6" t="s">
        <v>147</v>
      </c>
      <c r="BH6" t="s">
        <v>148</v>
      </c>
      <c r="BI6" t="s">
        <v>149</v>
      </c>
      <c r="BJ6" s="14">
        <v>0</v>
      </c>
      <c r="BK6" s="14">
        <v>93.92</v>
      </c>
      <c r="BL6" t="s">
        <v>140</v>
      </c>
      <c r="BN6" t="s">
        <v>141</v>
      </c>
      <c r="BO6" t="s">
        <v>120</v>
      </c>
      <c r="BP6" s="15">
        <v>439819</v>
      </c>
      <c r="BQ6">
        <v>12754</v>
      </c>
      <c r="BU6">
        <v>775</v>
      </c>
      <c r="BV6" t="s">
        <v>101</v>
      </c>
      <c r="BW6" t="s">
        <v>102</v>
      </c>
      <c r="BX6">
        <v>0</v>
      </c>
      <c r="BZ6" t="s">
        <v>103</v>
      </c>
      <c r="CA6" t="s">
        <v>104</v>
      </c>
      <c r="CB6">
        <v>775</v>
      </c>
      <c r="CC6" s="15">
        <v>1922</v>
      </c>
      <c r="CD6" s="15">
        <v>2018</v>
      </c>
      <c r="CE6" t="s">
        <v>150</v>
      </c>
    </row>
    <row r="7" spans="1:83" x14ac:dyDescent="0.2">
      <c r="A7" s="1" t="s">
        <v>151</v>
      </c>
      <c r="B7" s="8" t="s">
        <v>152</v>
      </c>
      <c r="C7" s="8">
        <v>2021</v>
      </c>
      <c r="D7" s="9">
        <v>13302</v>
      </c>
      <c r="E7" s="8">
        <v>10.029999999999999</v>
      </c>
      <c r="F7" s="10">
        <v>0.55900000000000005</v>
      </c>
      <c r="G7" s="8">
        <f>(24+30)/2</f>
        <v>27</v>
      </c>
      <c r="H7" s="8" t="s">
        <v>132</v>
      </c>
      <c r="J7" s="12"/>
      <c r="K7" s="13"/>
      <c r="L7" s="13"/>
      <c r="O7" t="s">
        <v>85</v>
      </c>
      <c r="Q7" t="s">
        <v>153</v>
      </c>
      <c r="S7" t="s">
        <v>88</v>
      </c>
      <c r="U7" t="s">
        <v>89</v>
      </c>
      <c r="V7" t="s">
        <v>90</v>
      </c>
      <c r="W7" t="s">
        <v>91</v>
      </c>
      <c r="X7">
        <v>0</v>
      </c>
      <c r="AA7">
        <v>5867</v>
      </c>
      <c r="AC7">
        <v>5867</v>
      </c>
      <c r="AN7" t="s">
        <v>94</v>
      </c>
      <c r="AO7" t="s">
        <v>88</v>
      </c>
      <c r="AR7" s="14">
        <v>10.029999999999999</v>
      </c>
      <c r="AS7" s="15">
        <v>436907</v>
      </c>
      <c r="AV7" t="s">
        <v>154</v>
      </c>
      <c r="AW7" s="15"/>
      <c r="AX7" t="s">
        <v>155</v>
      </c>
      <c r="AY7" s="15">
        <v>4707661762</v>
      </c>
      <c r="BB7" s="15">
        <v>2593</v>
      </c>
      <c r="BC7" s="15"/>
      <c r="BD7" s="15">
        <v>54</v>
      </c>
      <c r="BE7" s="15">
        <v>1</v>
      </c>
      <c r="BF7" s="16"/>
      <c r="BI7" t="s">
        <v>152</v>
      </c>
      <c r="BJ7" s="14">
        <v>4.0599999999999996</v>
      </c>
      <c r="BK7" s="14">
        <v>55.89</v>
      </c>
      <c r="BL7" t="s">
        <v>151</v>
      </c>
      <c r="BO7" t="s">
        <v>120</v>
      </c>
      <c r="BP7" s="15">
        <v>12293024</v>
      </c>
      <c r="BQ7">
        <v>13302</v>
      </c>
      <c r="BU7">
        <v>1582</v>
      </c>
      <c r="BV7" t="s">
        <v>101</v>
      </c>
      <c r="BW7" t="s">
        <v>102</v>
      </c>
      <c r="BX7">
        <v>0</v>
      </c>
      <c r="BZ7" t="s">
        <v>103</v>
      </c>
      <c r="CA7" t="s">
        <v>156</v>
      </c>
      <c r="CB7">
        <v>5867</v>
      </c>
      <c r="CC7" s="15">
        <v>2021</v>
      </c>
      <c r="CD7" s="15"/>
      <c r="CE7" t="s">
        <v>157</v>
      </c>
    </row>
    <row r="8" spans="1:83" x14ac:dyDescent="0.2">
      <c r="A8" s="1" t="s">
        <v>158</v>
      </c>
      <c r="B8" s="8" t="s">
        <v>159</v>
      </c>
      <c r="C8" s="8">
        <v>1964</v>
      </c>
      <c r="D8" s="9">
        <v>5446</v>
      </c>
      <c r="E8" s="8">
        <v>5</v>
      </c>
      <c r="F8" s="17">
        <v>1</v>
      </c>
      <c r="G8" s="8" t="s">
        <v>131</v>
      </c>
      <c r="H8" s="8" t="s">
        <v>109</v>
      </c>
      <c r="J8" s="12"/>
      <c r="K8" s="13"/>
      <c r="L8" s="13"/>
      <c r="M8" t="s">
        <v>160</v>
      </c>
      <c r="N8" t="s">
        <v>161</v>
      </c>
      <c r="O8" t="s">
        <v>85</v>
      </c>
      <c r="P8" t="s">
        <v>160</v>
      </c>
      <c r="Q8" t="s">
        <v>153</v>
      </c>
      <c r="S8" t="s">
        <v>88</v>
      </c>
      <c r="U8" t="s">
        <v>89</v>
      </c>
      <c r="V8" t="s">
        <v>90</v>
      </c>
      <c r="W8" t="s">
        <v>91</v>
      </c>
      <c r="AC8">
        <v>0</v>
      </c>
      <c r="AE8" t="s">
        <v>113</v>
      </c>
      <c r="AF8" t="s">
        <v>114</v>
      </c>
      <c r="AG8" t="s">
        <v>162</v>
      </c>
      <c r="AH8" t="s">
        <v>116</v>
      </c>
      <c r="AI8" t="s">
        <v>163</v>
      </c>
      <c r="AJ8" t="s">
        <v>118</v>
      </c>
      <c r="AK8" t="s">
        <v>119</v>
      </c>
      <c r="AN8" t="s">
        <v>94</v>
      </c>
      <c r="AO8" t="s">
        <v>88</v>
      </c>
      <c r="AR8" s="14">
        <v>5</v>
      </c>
      <c r="AS8" s="15">
        <v>217800</v>
      </c>
      <c r="AW8" s="15"/>
      <c r="AX8" t="s">
        <v>159</v>
      </c>
      <c r="AY8" s="15"/>
      <c r="BB8" s="15"/>
      <c r="BC8" s="15"/>
      <c r="BD8" s="15">
        <v>40</v>
      </c>
      <c r="BE8" s="15">
        <v>2</v>
      </c>
      <c r="BF8" s="16"/>
      <c r="BI8" t="s">
        <v>159</v>
      </c>
      <c r="BJ8" s="14">
        <v>7.34</v>
      </c>
      <c r="BK8" s="14">
        <v>100</v>
      </c>
      <c r="BL8" t="s">
        <v>158</v>
      </c>
      <c r="BO8" t="s">
        <v>164</v>
      </c>
      <c r="BP8" s="15">
        <v>6574014</v>
      </c>
      <c r="BQ8">
        <v>5446</v>
      </c>
      <c r="BV8" t="s">
        <v>101</v>
      </c>
      <c r="BW8" t="s">
        <v>102</v>
      </c>
      <c r="BZ8" t="s">
        <v>103</v>
      </c>
      <c r="CA8" t="s">
        <v>156</v>
      </c>
      <c r="CC8" s="15">
        <v>1964</v>
      </c>
      <c r="CD8" s="15"/>
      <c r="CE8" t="s">
        <v>165</v>
      </c>
    </row>
    <row r="9" spans="1:83" x14ac:dyDescent="0.2">
      <c r="A9" s="1" t="s">
        <v>166</v>
      </c>
      <c r="B9" s="8" t="s">
        <v>167</v>
      </c>
      <c r="C9" s="8" t="s">
        <v>168</v>
      </c>
      <c r="D9" s="9">
        <v>4037</v>
      </c>
      <c r="E9" s="8">
        <v>0.33</v>
      </c>
      <c r="F9" s="17">
        <v>1</v>
      </c>
      <c r="G9" s="8" t="s">
        <v>131</v>
      </c>
      <c r="H9" s="8" t="s">
        <v>169</v>
      </c>
      <c r="J9" s="12"/>
      <c r="K9" s="13"/>
      <c r="L9" s="13"/>
      <c r="M9" t="s">
        <v>170</v>
      </c>
      <c r="O9" t="s">
        <v>85</v>
      </c>
      <c r="P9" t="s">
        <v>170</v>
      </c>
      <c r="Q9" t="s">
        <v>171</v>
      </c>
      <c r="S9" t="s">
        <v>88</v>
      </c>
      <c r="U9" t="s">
        <v>89</v>
      </c>
      <c r="V9" t="s">
        <v>90</v>
      </c>
      <c r="W9" t="s">
        <v>91</v>
      </c>
      <c r="AC9">
        <v>0</v>
      </c>
      <c r="AE9" t="s">
        <v>113</v>
      </c>
      <c r="AF9" t="s">
        <v>172</v>
      </c>
      <c r="AG9" t="s">
        <v>173</v>
      </c>
      <c r="AH9" t="s">
        <v>116</v>
      </c>
      <c r="AI9" t="s">
        <v>174</v>
      </c>
      <c r="AJ9" t="s">
        <v>118</v>
      </c>
      <c r="AK9" t="s">
        <v>119</v>
      </c>
      <c r="AN9" t="s">
        <v>94</v>
      </c>
      <c r="AO9" t="s">
        <v>88</v>
      </c>
      <c r="AR9" s="14">
        <v>0.33</v>
      </c>
      <c r="AS9" s="15">
        <v>14375</v>
      </c>
      <c r="AW9" s="15"/>
      <c r="AX9" t="s">
        <v>175</v>
      </c>
      <c r="AY9" s="15"/>
      <c r="BB9" s="15"/>
      <c r="BC9" s="15"/>
      <c r="BD9" s="15">
        <v>15</v>
      </c>
      <c r="BE9" s="15">
        <v>2</v>
      </c>
      <c r="BF9" s="16"/>
      <c r="BI9" t="s">
        <v>167</v>
      </c>
      <c r="BJ9" s="14">
        <v>4.0999999999999996</v>
      </c>
      <c r="BK9" s="14">
        <v>100</v>
      </c>
      <c r="BL9" t="s">
        <v>166</v>
      </c>
      <c r="BO9" t="s">
        <v>120</v>
      </c>
      <c r="BP9" s="15">
        <v>6118507</v>
      </c>
      <c r="BQ9">
        <v>4037</v>
      </c>
      <c r="BV9" t="s">
        <v>101</v>
      </c>
      <c r="BW9" t="s">
        <v>102</v>
      </c>
      <c r="BZ9" t="s">
        <v>103</v>
      </c>
      <c r="CA9" t="s">
        <v>104</v>
      </c>
      <c r="CC9" s="15">
        <v>1905</v>
      </c>
      <c r="CD9" s="15">
        <v>2011</v>
      </c>
      <c r="CE9" t="s">
        <v>176</v>
      </c>
    </row>
    <row r="10" spans="1:83" x14ac:dyDescent="0.2">
      <c r="A10" s="1" t="s">
        <v>177</v>
      </c>
      <c r="B10" s="8" t="s">
        <v>178</v>
      </c>
      <c r="C10" s="8">
        <v>2026</v>
      </c>
      <c r="D10" s="9">
        <v>5509</v>
      </c>
      <c r="E10" s="8">
        <v>0.18</v>
      </c>
      <c r="F10" s="17">
        <v>1</v>
      </c>
      <c r="G10" s="8" t="s">
        <v>131</v>
      </c>
      <c r="H10" s="8" t="s">
        <v>169</v>
      </c>
      <c r="J10" s="12"/>
      <c r="K10" s="13"/>
      <c r="L10" s="13"/>
      <c r="O10" t="s">
        <v>179</v>
      </c>
      <c r="Q10" t="s">
        <v>86</v>
      </c>
      <c r="S10" t="s">
        <v>88</v>
      </c>
      <c r="T10" t="s">
        <v>180</v>
      </c>
      <c r="U10" t="s">
        <v>89</v>
      </c>
      <c r="V10" t="s">
        <v>90</v>
      </c>
      <c r="W10" t="s">
        <v>91</v>
      </c>
      <c r="AC10">
        <v>0</v>
      </c>
      <c r="AD10" t="s">
        <v>181</v>
      </c>
      <c r="AN10" t="s">
        <v>94</v>
      </c>
      <c r="AO10" t="s">
        <v>88</v>
      </c>
      <c r="AR10" s="14">
        <v>0.180005</v>
      </c>
      <c r="AS10" s="15">
        <v>7841</v>
      </c>
      <c r="AW10" s="15"/>
      <c r="AY10" s="15"/>
      <c r="BB10" s="15"/>
      <c r="BC10" s="15"/>
      <c r="BD10" s="15"/>
      <c r="BE10" s="15">
        <v>1</v>
      </c>
      <c r="BF10" s="16"/>
      <c r="BJ10" s="14"/>
      <c r="BK10" s="14">
        <v>100</v>
      </c>
      <c r="BL10" t="s">
        <v>182</v>
      </c>
      <c r="BN10" t="s">
        <v>178</v>
      </c>
      <c r="BO10" t="s">
        <v>120</v>
      </c>
      <c r="BP10" s="15">
        <v>19261347</v>
      </c>
      <c r="BQ10">
        <v>5509</v>
      </c>
      <c r="BV10" t="s">
        <v>101</v>
      </c>
      <c r="BW10" t="s">
        <v>102</v>
      </c>
      <c r="BZ10" t="s">
        <v>103</v>
      </c>
      <c r="CA10" t="s">
        <v>104</v>
      </c>
      <c r="CC10" s="15">
        <v>2026</v>
      </c>
      <c r="CD10" s="15"/>
      <c r="CE10" t="s">
        <v>105</v>
      </c>
    </row>
    <row r="11" spans="1:83" x14ac:dyDescent="0.2">
      <c r="A11" s="1" t="s">
        <v>183</v>
      </c>
      <c r="B11" s="8" t="s">
        <v>184</v>
      </c>
      <c r="C11" s="8" t="s">
        <v>185</v>
      </c>
      <c r="D11" s="9">
        <v>2800</v>
      </c>
      <c r="E11" s="8">
        <v>0.04</v>
      </c>
      <c r="F11" s="17">
        <v>1</v>
      </c>
      <c r="G11" s="8" t="s">
        <v>131</v>
      </c>
      <c r="H11" s="8" t="s">
        <v>169</v>
      </c>
      <c r="J11" s="12"/>
      <c r="K11" s="13"/>
      <c r="L11" s="13"/>
      <c r="M11" t="s">
        <v>186</v>
      </c>
      <c r="O11" t="s">
        <v>85</v>
      </c>
      <c r="P11" t="s">
        <v>186</v>
      </c>
      <c r="Q11" t="s">
        <v>134</v>
      </c>
      <c r="S11" t="s">
        <v>88</v>
      </c>
      <c r="U11" t="s">
        <v>89</v>
      </c>
      <c r="V11" t="s">
        <v>90</v>
      </c>
      <c r="W11" t="s">
        <v>91</v>
      </c>
      <c r="AC11">
        <v>0</v>
      </c>
      <c r="AD11" t="s">
        <v>187</v>
      </c>
      <c r="AN11" t="s">
        <v>94</v>
      </c>
      <c r="AO11" t="s">
        <v>88</v>
      </c>
      <c r="AR11" s="14">
        <v>4.0800000000000003E-2</v>
      </c>
      <c r="AS11" s="15">
        <v>1777</v>
      </c>
      <c r="AW11" s="15"/>
      <c r="AX11" t="s">
        <v>188</v>
      </c>
      <c r="AY11" s="15"/>
      <c r="BB11" s="15"/>
      <c r="BC11" s="15"/>
      <c r="BD11" s="15">
        <v>3</v>
      </c>
      <c r="BE11" s="15">
        <v>2</v>
      </c>
      <c r="BF11" s="16"/>
      <c r="BI11" t="s">
        <v>189</v>
      </c>
      <c r="BJ11" s="14">
        <v>1.07</v>
      </c>
      <c r="BK11" s="14">
        <v>100</v>
      </c>
      <c r="BL11" t="s">
        <v>183</v>
      </c>
      <c r="BO11" t="s">
        <v>120</v>
      </c>
      <c r="BP11" s="15">
        <v>10545247</v>
      </c>
      <c r="BQ11">
        <v>2800</v>
      </c>
      <c r="BV11" t="s">
        <v>101</v>
      </c>
      <c r="BW11" t="s">
        <v>102</v>
      </c>
      <c r="BZ11" t="s">
        <v>103</v>
      </c>
      <c r="CA11" t="s">
        <v>138</v>
      </c>
      <c r="CC11" s="15">
        <v>1935</v>
      </c>
      <c r="CD11" s="15">
        <v>2017</v>
      </c>
      <c r="CE11" t="s">
        <v>190</v>
      </c>
    </row>
    <row r="12" spans="1:83" x14ac:dyDescent="0.2">
      <c r="A12" s="1" t="s">
        <v>191</v>
      </c>
      <c r="B12" s="8" t="s">
        <v>192</v>
      </c>
      <c r="C12" s="8">
        <v>1912</v>
      </c>
      <c r="D12" s="9">
        <v>13852</v>
      </c>
      <c r="E12" s="8">
        <v>0.32</v>
      </c>
      <c r="F12" s="10">
        <v>0.88900000000000001</v>
      </c>
      <c r="G12" s="11">
        <v>32</v>
      </c>
      <c r="H12" s="8" t="s">
        <v>83</v>
      </c>
      <c r="J12" s="12">
        <v>32</v>
      </c>
      <c r="K12" s="13">
        <v>32</v>
      </c>
      <c r="L12" s="13"/>
      <c r="M12" t="s">
        <v>193</v>
      </c>
      <c r="O12" t="s">
        <v>85</v>
      </c>
      <c r="P12" t="s">
        <v>193</v>
      </c>
      <c r="Q12" t="s">
        <v>171</v>
      </c>
      <c r="R12" t="s">
        <v>194</v>
      </c>
      <c r="S12" t="s">
        <v>88</v>
      </c>
      <c r="U12" t="s">
        <v>89</v>
      </c>
      <c r="V12" t="s">
        <v>90</v>
      </c>
      <c r="W12" t="s">
        <v>91</v>
      </c>
      <c r="X12">
        <v>0</v>
      </c>
      <c r="AA12">
        <v>1539</v>
      </c>
      <c r="AB12" t="s">
        <v>92</v>
      </c>
      <c r="AC12">
        <v>1539</v>
      </c>
      <c r="AD12" t="s">
        <v>195</v>
      </c>
      <c r="AE12" t="s">
        <v>113</v>
      </c>
      <c r="AF12" t="s">
        <v>172</v>
      </c>
      <c r="AG12" t="s">
        <v>173</v>
      </c>
      <c r="AH12" t="s">
        <v>116</v>
      </c>
      <c r="AI12" t="s">
        <v>174</v>
      </c>
      <c r="AJ12" t="s">
        <v>118</v>
      </c>
      <c r="AK12" t="s">
        <v>119</v>
      </c>
      <c r="AN12" t="s">
        <v>94</v>
      </c>
      <c r="AO12" t="s">
        <v>88</v>
      </c>
      <c r="AR12" s="14">
        <v>0.32</v>
      </c>
      <c r="AS12" s="15">
        <v>13939</v>
      </c>
      <c r="AV12" t="s">
        <v>196</v>
      </c>
      <c r="AW12" s="15"/>
      <c r="AX12" t="s">
        <v>97</v>
      </c>
      <c r="AY12" s="15">
        <v>4043714100</v>
      </c>
      <c r="AZ12" t="s">
        <v>197</v>
      </c>
      <c r="BA12" t="s">
        <v>198</v>
      </c>
      <c r="BB12" s="15">
        <v>1539</v>
      </c>
      <c r="BC12" s="15"/>
      <c r="BD12" s="15"/>
      <c r="BE12" s="15">
        <v>2</v>
      </c>
      <c r="BF12" s="16">
        <v>2325000</v>
      </c>
      <c r="BG12" t="s">
        <v>199</v>
      </c>
      <c r="BH12" t="s">
        <v>200</v>
      </c>
      <c r="BI12" t="s">
        <v>201</v>
      </c>
      <c r="BJ12" s="14"/>
      <c r="BK12" s="14">
        <v>88.89</v>
      </c>
      <c r="BL12" t="s">
        <v>191</v>
      </c>
      <c r="BN12" t="s">
        <v>202</v>
      </c>
      <c r="BO12" t="s">
        <v>120</v>
      </c>
      <c r="BP12" s="15">
        <v>11405493</v>
      </c>
      <c r="BQ12">
        <v>13852</v>
      </c>
      <c r="BU12">
        <v>1539</v>
      </c>
      <c r="BV12" t="s">
        <v>101</v>
      </c>
      <c r="BW12" t="s">
        <v>102</v>
      </c>
      <c r="BX12">
        <v>0</v>
      </c>
      <c r="BZ12" t="s">
        <v>103</v>
      </c>
      <c r="CA12" t="s">
        <v>104</v>
      </c>
      <c r="CB12">
        <v>1539</v>
      </c>
      <c r="CC12" s="15">
        <v>1912</v>
      </c>
      <c r="CD12" s="15"/>
      <c r="CE12" t="s">
        <v>203</v>
      </c>
    </row>
    <row r="13" spans="1:83" x14ac:dyDescent="0.2">
      <c r="A13" s="1" t="s">
        <v>204</v>
      </c>
      <c r="B13" s="8" t="s">
        <v>205</v>
      </c>
      <c r="C13" s="8">
        <v>1924</v>
      </c>
      <c r="D13" s="9">
        <v>6000</v>
      </c>
      <c r="E13" s="8">
        <v>0.13</v>
      </c>
      <c r="F13" s="17">
        <v>1</v>
      </c>
      <c r="G13" s="8" t="s">
        <v>131</v>
      </c>
      <c r="H13" s="8" t="s">
        <v>83</v>
      </c>
      <c r="J13" s="12"/>
      <c r="K13" s="13"/>
      <c r="L13" s="13"/>
      <c r="M13" t="s">
        <v>206</v>
      </c>
      <c r="O13" t="s">
        <v>85</v>
      </c>
      <c r="P13" t="s">
        <v>206</v>
      </c>
      <c r="Q13" t="s">
        <v>171</v>
      </c>
      <c r="S13" t="s">
        <v>88</v>
      </c>
      <c r="U13" t="s">
        <v>89</v>
      </c>
      <c r="V13" t="s">
        <v>90</v>
      </c>
      <c r="W13" t="s">
        <v>91</v>
      </c>
      <c r="AC13">
        <v>0</v>
      </c>
      <c r="AE13" t="s">
        <v>113</v>
      </c>
      <c r="AF13" t="s">
        <v>172</v>
      </c>
      <c r="AG13" t="s">
        <v>173</v>
      </c>
      <c r="AH13" t="s">
        <v>116</v>
      </c>
      <c r="AI13" t="s">
        <v>174</v>
      </c>
      <c r="AJ13" t="s">
        <v>118</v>
      </c>
      <c r="AK13" t="s">
        <v>119</v>
      </c>
      <c r="AN13" t="s">
        <v>94</v>
      </c>
      <c r="AO13" t="s">
        <v>88</v>
      </c>
      <c r="AR13" s="14">
        <v>0.13</v>
      </c>
      <c r="AS13" s="15">
        <v>5663</v>
      </c>
      <c r="AW13" s="15"/>
      <c r="AX13" t="s">
        <v>207</v>
      </c>
      <c r="AY13" s="15"/>
      <c r="BB13" s="15"/>
      <c r="BC13" s="15"/>
      <c r="BD13" s="15">
        <v>12</v>
      </c>
      <c r="BE13" s="15">
        <v>2</v>
      </c>
      <c r="BF13" s="16"/>
      <c r="BI13" t="s">
        <v>205</v>
      </c>
      <c r="BJ13" s="14">
        <v>2</v>
      </c>
      <c r="BK13" s="14">
        <v>100</v>
      </c>
      <c r="BL13" t="s">
        <v>204</v>
      </c>
      <c r="BO13" t="s">
        <v>120</v>
      </c>
      <c r="BP13" s="15">
        <v>6118519</v>
      </c>
      <c r="BQ13">
        <v>6000</v>
      </c>
      <c r="BV13" t="s">
        <v>101</v>
      </c>
      <c r="BW13" t="s">
        <v>102</v>
      </c>
      <c r="BZ13" t="s">
        <v>103</v>
      </c>
      <c r="CA13" t="s">
        <v>104</v>
      </c>
      <c r="CC13" s="15">
        <v>1924</v>
      </c>
      <c r="CD13" s="15"/>
      <c r="CE13" t="s">
        <v>176</v>
      </c>
    </row>
    <row r="14" spans="1:83" x14ac:dyDescent="0.2">
      <c r="A14" s="1" t="s">
        <v>208</v>
      </c>
      <c r="B14" s="8" t="s">
        <v>209</v>
      </c>
      <c r="C14" s="8">
        <v>2025</v>
      </c>
      <c r="D14" s="9">
        <v>25000</v>
      </c>
      <c r="E14" s="8">
        <v>1.71</v>
      </c>
      <c r="F14" s="17">
        <v>1</v>
      </c>
      <c r="G14" s="8" t="s">
        <v>131</v>
      </c>
      <c r="H14" s="8" t="s">
        <v>83</v>
      </c>
      <c r="J14" s="12"/>
      <c r="K14" s="13"/>
      <c r="L14" s="13"/>
      <c r="O14" t="s">
        <v>85</v>
      </c>
      <c r="Q14" t="s">
        <v>171</v>
      </c>
      <c r="S14" t="s">
        <v>88</v>
      </c>
      <c r="T14" t="s">
        <v>210</v>
      </c>
      <c r="U14" t="s">
        <v>89</v>
      </c>
      <c r="V14" t="s">
        <v>90</v>
      </c>
      <c r="W14" t="s">
        <v>91</v>
      </c>
      <c r="Z14" t="s">
        <v>211</v>
      </c>
      <c r="AC14">
        <v>0</v>
      </c>
      <c r="AN14" t="s">
        <v>94</v>
      </c>
      <c r="AO14" t="s">
        <v>88</v>
      </c>
      <c r="AR14" s="14">
        <v>1.71</v>
      </c>
      <c r="AS14" s="15">
        <v>74488</v>
      </c>
      <c r="AV14" t="s">
        <v>212</v>
      </c>
      <c r="AW14" s="15"/>
      <c r="AX14" t="s">
        <v>213</v>
      </c>
      <c r="AY14" s="15">
        <v>4042197093</v>
      </c>
      <c r="BB14" s="15"/>
      <c r="BC14" s="15"/>
      <c r="BD14" s="15"/>
      <c r="BE14" s="15">
        <v>2</v>
      </c>
      <c r="BF14" s="16"/>
      <c r="BI14" t="s">
        <v>214</v>
      </c>
      <c r="BJ14" s="14"/>
      <c r="BK14" s="14">
        <v>100</v>
      </c>
      <c r="BL14" t="s">
        <v>208</v>
      </c>
      <c r="BN14" t="s">
        <v>215</v>
      </c>
      <c r="BO14" t="s">
        <v>120</v>
      </c>
      <c r="BP14" s="15">
        <v>19827138</v>
      </c>
      <c r="BQ14">
        <v>25000</v>
      </c>
      <c r="BV14" t="s">
        <v>101</v>
      </c>
      <c r="BW14" t="s">
        <v>102</v>
      </c>
      <c r="BZ14" t="s">
        <v>103</v>
      </c>
      <c r="CA14" t="s">
        <v>104</v>
      </c>
      <c r="CC14" s="15">
        <v>2025</v>
      </c>
      <c r="CD14" s="15"/>
      <c r="CE14" t="s">
        <v>176</v>
      </c>
    </row>
    <row r="15" spans="1:83" x14ac:dyDescent="0.2">
      <c r="A15" s="1" t="s">
        <v>216</v>
      </c>
      <c r="B15" s="8" t="s">
        <v>217</v>
      </c>
      <c r="C15" s="8">
        <v>1929</v>
      </c>
      <c r="D15" s="9">
        <v>3900</v>
      </c>
      <c r="E15" s="8">
        <v>0.1</v>
      </c>
      <c r="F15" s="17">
        <v>1</v>
      </c>
      <c r="G15" s="8" t="s">
        <v>131</v>
      </c>
      <c r="H15" s="8" t="s">
        <v>218</v>
      </c>
      <c r="J15" s="12"/>
      <c r="K15" s="13"/>
      <c r="L15" s="13"/>
      <c r="M15" t="s">
        <v>219</v>
      </c>
      <c r="O15" t="s">
        <v>85</v>
      </c>
      <c r="P15" t="s">
        <v>219</v>
      </c>
      <c r="Q15" t="s">
        <v>86</v>
      </c>
      <c r="R15" t="s">
        <v>194</v>
      </c>
      <c r="S15" t="s">
        <v>88</v>
      </c>
      <c r="U15" t="s">
        <v>89</v>
      </c>
      <c r="V15" t="s">
        <v>90</v>
      </c>
      <c r="W15" t="s">
        <v>91</v>
      </c>
      <c r="AC15">
        <v>0</v>
      </c>
      <c r="AD15" t="s">
        <v>220</v>
      </c>
      <c r="AE15" t="s">
        <v>113</v>
      </c>
      <c r="AF15" t="s">
        <v>114</v>
      </c>
      <c r="AG15" t="s">
        <v>115</v>
      </c>
      <c r="AH15" t="s">
        <v>116</v>
      </c>
      <c r="AI15" t="s">
        <v>117</v>
      </c>
      <c r="AJ15" t="s">
        <v>118</v>
      </c>
      <c r="AK15" t="s">
        <v>119</v>
      </c>
      <c r="AN15" t="s">
        <v>94</v>
      </c>
      <c r="AO15" t="s">
        <v>88</v>
      </c>
      <c r="AR15" s="14">
        <v>0.1</v>
      </c>
      <c r="AS15" s="15">
        <v>4356</v>
      </c>
      <c r="AW15" s="15"/>
      <c r="AY15" s="15"/>
      <c r="AZ15" t="s">
        <v>197</v>
      </c>
      <c r="BA15" t="s">
        <v>221</v>
      </c>
      <c r="BB15" s="15"/>
      <c r="BC15" s="15"/>
      <c r="BD15" s="15"/>
      <c r="BE15" s="15">
        <v>1</v>
      </c>
      <c r="BF15" s="16">
        <v>1152000</v>
      </c>
      <c r="BG15" t="s">
        <v>222</v>
      </c>
      <c r="BH15" t="s">
        <v>223</v>
      </c>
      <c r="BI15" t="s">
        <v>217</v>
      </c>
      <c r="BJ15" s="14"/>
      <c r="BK15" s="14">
        <v>100</v>
      </c>
      <c r="BL15" t="s">
        <v>216</v>
      </c>
      <c r="BO15" t="s">
        <v>120</v>
      </c>
      <c r="BP15" s="15">
        <v>9365971</v>
      </c>
      <c r="BQ15">
        <v>3900</v>
      </c>
      <c r="BV15" t="s">
        <v>101</v>
      </c>
      <c r="BW15" t="s">
        <v>102</v>
      </c>
      <c r="BZ15" t="s">
        <v>103</v>
      </c>
      <c r="CA15" t="s">
        <v>104</v>
      </c>
      <c r="CC15" s="15">
        <v>1929</v>
      </c>
      <c r="CD15" s="15"/>
      <c r="CE15" t="s">
        <v>105</v>
      </c>
    </row>
    <row r="16" spans="1:83" x14ac:dyDescent="0.2">
      <c r="A16" s="1" t="s">
        <v>224</v>
      </c>
      <c r="B16" s="8" t="s">
        <v>225</v>
      </c>
      <c r="C16" s="8" t="s">
        <v>226</v>
      </c>
      <c r="D16" s="9">
        <v>4684</v>
      </c>
      <c r="E16" s="8">
        <v>0.09</v>
      </c>
      <c r="F16" s="17">
        <v>1</v>
      </c>
      <c r="G16" s="8" t="s">
        <v>131</v>
      </c>
      <c r="H16" s="8" t="s">
        <v>83</v>
      </c>
      <c r="J16" s="12"/>
      <c r="K16" s="13"/>
      <c r="L16" s="13"/>
      <c r="M16" t="s">
        <v>227</v>
      </c>
      <c r="O16" t="s">
        <v>85</v>
      </c>
      <c r="P16" t="s">
        <v>227</v>
      </c>
      <c r="Q16" t="s">
        <v>134</v>
      </c>
      <c r="S16" t="s">
        <v>88</v>
      </c>
      <c r="U16" t="s">
        <v>89</v>
      </c>
      <c r="V16" t="s">
        <v>90</v>
      </c>
      <c r="W16" t="s">
        <v>91</v>
      </c>
      <c r="AC16">
        <v>0</v>
      </c>
      <c r="AE16" t="s">
        <v>113</v>
      </c>
      <c r="AF16" t="s">
        <v>228</v>
      </c>
      <c r="AG16" t="s">
        <v>229</v>
      </c>
      <c r="AH16" t="s">
        <v>116</v>
      </c>
      <c r="AI16" t="s">
        <v>230</v>
      </c>
      <c r="AJ16" t="s">
        <v>118</v>
      </c>
      <c r="AK16" t="s">
        <v>119</v>
      </c>
      <c r="AN16" t="s">
        <v>94</v>
      </c>
      <c r="AO16" t="s">
        <v>88</v>
      </c>
      <c r="AR16" s="14">
        <v>0.09</v>
      </c>
      <c r="AS16" s="15">
        <v>3920</v>
      </c>
      <c r="AW16" s="15"/>
      <c r="AX16" t="s">
        <v>231</v>
      </c>
      <c r="AY16" s="15"/>
      <c r="BB16" s="15"/>
      <c r="BC16" s="15"/>
      <c r="BD16" s="15"/>
      <c r="BE16" s="15">
        <v>1</v>
      </c>
      <c r="BF16" s="16"/>
      <c r="BI16" t="s">
        <v>225</v>
      </c>
      <c r="BJ16" s="14"/>
      <c r="BK16" s="14">
        <v>100</v>
      </c>
      <c r="BL16" t="s">
        <v>224</v>
      </c>
      <c r="BO16" t="s">
        <v>120</v>
      </c>
      <c r="BP16" s="15">
        <v>6746945</v>
      </c>
      <c r="BQ16">
        <v>4684</v>
      </c>
      <c r="BV16" t="s">
        <v>101</v>
      </c>
      <c r="BW16" t="s">
        <v>102</v>
      </c>
      <c r="BZ16" t="s">
        <v>103</v>
      </c>
      <c r="CA16" t="s">
        <v>138</v>
      </c>
      <c r="CC16" s="15">
        <v>1900</v>
      </c>
      <c r="CD16" s="15">
        <v>1985</v>
      </c>
      <c r="CE16" t="s">
        <v>232</v>
      </c>
    </row>
    <row r="17" spans="1:83" x14ac:dyDescent="0.2">
      <c r="A17" s="1" t="s">
        <v>233</v>
      </c>
      <c r="B17" s="8" t="s">
        <v>234</v>
      </c>
      <c r="C17" s="8">
        <v>1971</v>
      </c>
      <c r="D17" s="9">
        <v>2472</v>
      </c>
      <c r="E17" s="8">
        <v>0.06</v>
      </c>
      <c r="F17" s="17">
        <v>1</v>
      </c>
      <c r="G17" s="8" t="s">
        <v>131</v>
      </c>
      <c r="H17" s="8" t="s">
        <v>83</v>
      </c>
      <c r="J17" s="12"/>
      <c r="K17" s="13"/>
      <c r="L17" s="13"/>
      <c r="M17" t="s">
        <v>235</v>
      </c>
      <c r="O17" t="s">
        <v>85</v>
      </c>
      <c r="P17" t="s">
        <v>235</v>
      </c>
      <c r="Q17" t="s">
        <v>236</v>
      </c>
      <c r="S17" t="s">
        <v>88</v>
      </c>
      <c r="U17" t="s">
        <v>89</v>
      </c>
      <c r="V17" t="s">
        <v>90</v>
      </c>
      <c r="W17" t="s">
        <v>91</v>
      </c>
      <c r="AC17">
        <v>0</v>
      </c>
      <c r="AN17" t="s">
        <v>94</v>
      </c>
      <c r="AO17" t="s">
        <v>88</v>
      </c>
      <c r="AR17" s="14">
        <v>0.06</v>
      </c>
      <c r="AS17" s="15">
        <v>2614</v>
      </c>
      <c r="AW17" s="15"/>
      <c r="AY17" s="15"/>
      <c r="BB17" s="15"/>
      <c r="BC17" s="15"/>
      <c r="BD17" s="15">
        <v>2</v>
      </c>
      <c r="BE17" s="15">
        <v>2</v>
      </c>
      <c r="BF17" s="16"/>
      <c r="BI17" t="s">
        <v>234</v>
      </c>
      <c r="BJ17" s="14">
        <v>0.8</v>
      </c>
      <c r="BK17" s="14">
        <v>100</v>
      </c>
      <c r="BL17" t="s">
        <v>233</v>
      </c>
      <c r="BO17" t="s">
        <v>120</v>
      </c>
      <c r="BP17" s="15">
        <v>439082</v>
      </c>
      <c r="BQ17">
        <v>2472</v>
      </c>
      <c r="BV17" t="s">
        <v>101</v>
      </c>
      <c r="BW17" t="s">
        <v>102</v>
      </c>
      <c r="BZ17" t="s">
        <v>103</v>
      </c>
      <c r="CA17" t="s">
        <v>138</v>
      </c>
      <c r="CC17" s="15">
        <v>1971</v>
      </c>
      <c r="CD17" s="15"/>
      <c r="CE17" t="s">
        <v>237</v>
      </c>
    </row>
    <row r="18" spans="1:83" x14ac:dyDescent="0.2">
      <c r="A18" s="1" t="s">
        <v>238</v>
      </c>
      <c r="B18" s="8" t="s">
        <v>239</v>
      </c>
      <c r="C18" s="8">
        <v>1960</v>
      </c>
      <c r="D18" s="9">
        <v>2000</v>
      </c>
      <c r="E18" s="8">
        <v>0.08</v>
      </c>
      <c r="F18" s="17">
        <v>1</v>
      </c>
      <c r="G18" s="8" t="s">
        <v>131</v>
      </c>
      <c r="H18" s="8" t="s">
        <v>83</v>
      </c>
      <c r="J18" s="12"/>
      <c r="K18" s="13"/>
      <c r="L18" s="13"/>
      <c r="M18" t="s">
        <v>240</v>
      </c>
      <c r="O18" t="s">
        <v>85</v>
      </c>
      <c r="P18" t="s">
        <v>240</v>
      </c>
      <c r="Q18" t="s">
        <v>86</v>
      </c>
      <c r="S18" t="s">
        <v>88</v>
      </c>
      <c r="U18" t="s">
        <v>89</v>
      </c>
      <c r="V18" t="s">
        <v>90</v>
      </c>
      <c r="W18" t="s">
        <v>91</v>
      </c>
      <c r="AC18">
        <v>0</v>
      </c>
      <c r="AE18" t="s">
        <v>113</v>
      </c>
      <c r="AF18" t="s">
        <v>114</v>
      </c>
      <c r="AG18" t="s">
        <v>115</v>
      </c>
      <c r="AH18" t="s">
        <v>116</v>
      </c>
      <c r="AI18" t="s">
        <v>117</v>
      </c>
      <c r="AJ18" t="s">
        <v>118</v>
      </c>
      <c r="AK18" t="s">
        <v>119</v>
      </c>
      <c r="AN18" t="s">
        <v>94</v>
      </c>
      <c r="AO18" t="s">
        <v>88</v>
      </c>
      <c r="AR18" s="14">
        <v>7.9981999999999998E-2</v>
      </c>
      <c r="AS18" s="15">
        <v>3484</v>
      </c>
      <c r="AW18" s="15"/>
      <c r="AX18" t="s">
        <v>241</v>
      </c>
      <c r="AY18" s="15"/>
      <c r="BB18" s="15"/>
      <c r="BC18" s="15"/>
      <c r="BD18" s="15">
        <v>50</v>
      </c>
      <c r="BE18" s="15">
        <v>1</v>
      </c>
      <c r="BF18" s="16"/>
      <c r="BI18" t="s">
        <v>239</v>
      </c>
      <c r="BJ18" s="14"/>
      <c r="BK18" s="14">
        <v>100</v>
      </c>
      <c r="BL18" t="s">
        <v>238</v>
      </c>
      <c r="BM18" t="s">
        <v>242</v>
      </c>
      <c r="BN18" t="s">
        <v>243</v>
      </c>
      <c r="BO18" t="s">
        <v>120</v>
      </c>
      <c r="BP18" s="15">
        <v>437618</v>
      </c>
      <c r="BQ18">
        <v>2000</v>
      </c>
      <c r="BV18" t="s">
        <v>101</v>
      </c>
      <c r="BW18" t="s">
        <v>102</v>
      </c>
      <c r="BZ18" t="s">
        <v>103</v>
      </c>
      <c r="CA18" t="s">
        <v>104</v>
      </c>
      <c r="CC18" s="15">
        <v>1960</v>
      </c>
      <c r="CD18" s="15"/>
      <c r="CE18" t="s">
        <v>244</v>
      </c>
    </row>
    <row r="19" spans="1:83" x14ac:dyDescent="0.2">
      <c r="A19" s="1" t="s">
        <v>245</v>
      </c>
      <c r="B19" s="8" t="s">
        <v>97</v>
      </c>
      <c r="C19" s="8">
        <v>1963</v>
      </c>
      <c r="D19" s="9">
        <v>1757</v>
      </c>
      <c r="E19" s="8">
        <v>0.04</v>
      </c>
      <c r="F19" s="17">
        <v>1</v>
      </c>
      <c r="G19" s="8" t="s">
        <v>131</v>
      </c>
      <c r="H19" s="8" t="s">
        <v>83</v>
      </c>
      <c r="J19" s="12"/>
      <c r="K19" s="13"/>
      <c r="L19" s="13"/>
      <c r="M19" t="s">
        <v>246</v>
      </c>
      <c r="O19" t="s">
        <v>85</v>
      </c>
      <c r="P19" t="s">
        <v>246</v>
      </c>
      <c r="Q19" t="s">
        <v>86</v>
      </c>
      <c r="S19" t="s">
        <v>88</v>
      </c>
      <c r="U19" t="s">
        <v>89</v>
      </c>
      <c r="V19" t="s">
        <v>90</v>
      </c>
      <c r="W19" t="s">
        <v>91</v>
      </c>
      <c r="AC19">
        <v>0</v>
      </c>
      <c r="AD19" t="s">
        <v>247</v>
      </c>
      <c r="AE19" t="s">
        <v>113</v>
      </c>
      <c r="AF19" t="s">
        <v>114</v>
      </c>
      <c r="AG19" t="s">
        <v>115</v>
      </c>
      <c r="AH19" t="s">
        <v>116</v>
      </c>
      <c r="AI19" t="s">
        <v>117</v>
      </c>
      <c r="AJ19" t="s">
        <v>118</v>
      </c>
      <c r="AK19" t="s">
        <v>119</v>
      </c>
      <c r="AN19" t="s">
        <v>94</v>
      </c>
      <c r="AO19" t="s">
        <v>88</v>
      </c>
      <c r="AR19" s="14">
        <v>4.0300000000000002E-2</v>
      </c>
      <c r="AS19" s="15">
        <v>1755</v>
      </c>
      <c r="AV19" t="s">
        <v>248</v>
      </c>
      <c r="AW19" s="15"/>
      <c r="AX19" t="s">
        <v>97</v>
      </c>
      <c r="AY19" s="15">
        <v>4043710188</v>
      </c>
      <c r="BB19" s="15"/>
      <c r="BC19" s="15"/>
      <c r="BD19" s="15"/>
      <c r="BE19" s="15">
        <v>1</v>
      </c>
      <c r="BF19" s="16"/>
      <c r="BI19" t="s">
        <v>97</v>
      </c>
      <c r="BJ19" s="14"/>
      <c r="BK19" s="14">
        <v>100</v>
      </c>
      <c r="BL19" t="s">
        <v>245</v>
      </c>
      <c r="BO19" t="s">
        <v>120</v>
      </c>
      <c r="BP19" s="15">
        <v>11394701</v>
      </c>
      <c r="BQ19">
        <v>1757</v>
      </c>
      <c r="BV19" t="s">
        <v>101</v>
      </c>
      <c r="BW19" t="s">
        <v>102</v>
      </c>
      <c r="BZ19" t="s">
        <v>103</v>
      </c>
      <c r="CA19" t="s">
        <v>104</v>
      </c>
      <c r="CC19" s="15">
        <v>1963</v>
      </c>
      <c r="CD19" s="15"/>
      <c r="CE1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2026-04-12T21:57:57Z</dcterms:created>
  <dcterms:modified xsi:type="dcterms:W3CDTF">2026-04-12T21:58:16Z</dcterms:modified>
</cp:coreProperties>
</file>